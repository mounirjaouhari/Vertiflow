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rontiersin-my.sharepoint.com/personal/laura_goodfellow_frontiersin_net/Documents/Desktop/"/>
    </mc:Choice>
  </mc:AlternateContent>
  <xr:revisionPtr revIDLastSave="0" documentId="8_{6EA694FD-AA13-4EE3-B09D-65F7F2040D9C}" xr6:coauthVersionLast="47" xr6:coauthVersionMax="47" xr10:uidLastSave="{00000000-0000-0000-0000-000000000000}"/>
  <bookViews>
    <workbookView xWindow="-110" yWindow="-110" windowWidth="19420" windowHeight="10420" xr2:uid="{BACAC2BC-AB8A-4625-891F-75F9C44A158E}"/>
  </bookViews>
  <sheets>
    <sheet name="Temperature" sheetId="2" r:id="rId1"/>
    <sheet name="Relative humidity" sheetId="5" r:id="rId2"/>
    <sheet name="CO2 Concentration" sheetId="4" r:id="rId3"/>
    <sheet name="Wind speed" sheetId="9" r:id="rId4"/>
    <sheet name="EC and pH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6" i="8" l="1"/>
  <c r="C55" i="8"/>
  <c r="C54" i="8"/>
  <c r="C53" i="8"/>
  <c r="B56" i="8"/>
  <c r="B55" i="8"/>
  <c r="B54" i="8"/>
  <c r="B53" i="8"/>
  <c r="B56" i="9"/>
  <c r="B55" i="9"/>
  <c r="B54" i="9"/>
  <c r="B53" i="9"/>
  <c r="B56" i="2"/>
  <c r="B55" i="2"/>
  <c r="B54" i="2"/>
  <c r="B53" i="2"/>
  <c r="B56" i="5"/>
  <c r="B55" i="5"/>
  <c r="B54" i="5"/>
  <c r="B53" i="5"/>
  <c r="B56" i="4"/>
  <c r="B55" i="4"/>
  <c r="B54" i="4"/>
  <c r="B53" i="4"/>
</calcChain>
</file>

<file path=xl/sharedStrings.xml><?xml version="1.0" encoding="utf-8"?>
<sst xmlns="http://schemas.openxmlformats.org/spreadsheetml/2006/main" count="36" uniqueCount="16">
  <si>
    <t>Date</t>
  </si>
  <si>
    <t>inAirTemp</t>
  </si>
  <si>
    <t>inAirHumid</t>
  </si>
  <si>
    <t>inCO2Dens</t>
  </si>
  <si>
    <t>inWindSpeed</t>
  </si>
  <si>
    <t>ECMes</t>
  </si>
  <si>
    <t>pHMes</t>
  </si>
  <si>
    <t>C</t>
  </si>
  <si>
    <t>%</t>
  </si>
  <si>
    <t>ppm</t>
  </si>
  <si>
    <t>m/s</t>
  </si>
  <si>
    <t>mS/cm</t>
  </si>
  <si>
    <t>AVG</t>
  </si>
  <si>
    <t>Max</t>
  </si>
  <si>
    <t>Min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</si>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</sst>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Temperature!$B$1:$B$2</c:f>
              <c:strCache>
                <c:ptCount val="2"/>
                <c:pt idx="0">
                  <c:v>inAirTemp</c:v>
                </c:pt>
                <c:pt idx="1">
                  <c:v>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Temperature!$A$3:$A$52</c:f>
              <c:numCache>
                <c:formatCode>m/d/yyyy</c:formatCode>
                <c:ptCount val="50"/>
                <c:pt idx="0">
                  <c:v>44382</c:v>
                </c:pt>
                <c:pt idx="1">
                  <c:v>44383</c:v>
                </c:pt>
                <c:pt idx="2">
                  <c:v>44384</c:v>
                </c:pt>
                <c:pt idx="3">
                  <c:v>44385</c:v>
                </c:pt>
                <c:pt idx="4">
                  <c:v>44386</c:v>
                </c:pt>
                <c:pt idx="5">
                  <c:v>44387</c:v>
                </c:pt>
                <c:pt idx="6">
                  <c:v>44388</c:v>
                </c:pt>
                <c:pt idx="7">
                  <c:v>44389</c:v>
                </c:pt>
                <c:pt idx="8">
                  <c:v>44390</c:v>
                </c:pt>
                <c:pt idx="9">
                  <c:v>44391</c:v>
                </c:pt>
                <c:pt idx="10">
                  <c:v>44392</c:v>
                </c:pt>
                <c:pt idx="11">
                  <c:v>44393</c:v>
                </c:pt>
                <c:pt idx="12">
                  <c:v>44394</c:v>
                </c:pt>
                <c:pt idx="13">
                  <c:v>44395</c:v>
                </c:pt>
                <c:pt idx="14">
                  <c:v>44396</c:v>
                </c:pt>
                <c:pt idx="15">
                  <c:v>44397</c:v>
                </c:pt>
                <c:pt idx="16">
                  <c:v>44398</c:v>
                </c:pt>
                <c:pt idx="17">
                  <c:v>44399</c:v>
                </c:pt>
                <c:pt idx="18">
                  <c:v>44400</c:v>
                </c:pt>
                <c:pt idx="19">
                  <c:v>44401</c:v>
                </c:pt>
                <c:pt idx="20">
                  <c:v>44402</c:v>
                </c:pt>
                <c:pt idx="21">
                  <c:v>44403</c:v>
                </c:pt>
                <c:pt idx="22">
                  <c:v>44404</c:v>
                </c:pt>
                <c:pt idx="23">
                  <c:v>44405</c:v>
                </c:pt>
                <c:pt idx="24">
                  <c:v>44406</c:v>
                </c:pt>
                <c:pt idx="25">
                  <c:v>44407</c:v>
                </c:pt>
                <c:pt idx="26">
                  <c:v>44408</c:v>
                </c:pt>
                <c:pt idx="27">
                  <c:v>44409</c:v>
                </c:pt>
                <c:pt idx="28">
                  <c:v>44410</c:v>
                </c:pt>
                <c:pt idx="29">
                  <c:v>44411</c:v>
                </c:pt>
                <c:pt idx="30">
                  <c:v>44412</c:v>
                </c:pt>
                <c:pt idx="31">
                  <c:v>44413</c:v>
                </c:pt>
                <c:pt idx="32">
                  <c:v>44414</c:v>
                </c:pt>
                <c:pt idx="33">
                  <c:v>44415</c:v>
                </c:pt>
                <c:pt idx="34">
                  <c:v>44416</c:v>
                </c:pt>
                <c:pt idx="35">
                  <c:v>44417</c:v>
                </c:pt>
                <c:pt idx="36">
                  <c:v>44418</c:v>
                </c:pt>
                <c:pt idx="37">
                  <c:v>44419</c:v>
                </c:pt>
                <c:pt idx="38">
                  <c:v>44420</c:v>
                </c:pt>
                <c:pt idx="39">
                  <c:v>44421</c:v>
                </c:pt>
                <c:pt idx="40">
                  <c:v>44422</c:v>
                </c:pt>
                <c:pt idx="41">
                  <c:v>44423</c:v>
                </c:pt>
                <c:pt idx="42">
                  <c:v>44424</c:v>
                </c:pt>
                <c:pt idx="43">
                  <c:v>44425</c:v>
                </c:pt>
                <c:pt idx="44">
                  <c:v>44426</c:v>
                </c:pt>
                <c:pt idx="45">
                  <c:v>44427</c:v>
                </c:pt>
                <c:pt idx="46">
                  <c:v>44428</c:v>
                </c:pt>
                <c:pt idx="47">
                  <c:v>44429</c:v>
                </c:pt>
                <c:pt idx="48">
                  <c:v>44430</c:v>
                </c:pt>
                <c:pt idx="49">
                  <c:v>44431</c:v>
                </c:pt>
              </c:numCache>
            </c:numRef>
          </c:cat>
          <c:val>
            <c:numRef>
              <c:f>Temperature!$B$3:$B$52</c:f>
              <c:numCache>
                <c:formatCode>0.00</c:formatCode>
                <c:ptCount val="50"/>
                <c:pt idx="0">
                  <c:v>25.2</c:v>
                </c:pt>
                <c:pt idx="1">
                  <c:v>24.9</c:v>
                </c:pt>
                <c:pt idx="2">
                  <c:v>25.3</c:v>
                </c:pt>
                <c:pt idx="3">
                  <c:v>24.3</c:v>
                </c:pt>
                <c:pt idx="4">
                  <c:v>24.6</c:v>
                </c:pt>
                <c:pt idx="5">
                  <c:v>25.7</c:v>
                </c:pt>
                <c:pt idx="6">
                  <c:v>25.6</c:v>
                </c:pt>
                <c:pt idx="7">
                  <c:v>25.5</c:v>
                </c:pt>
                <c:pt idx="8">
                  <c:v>25.5</c:v>
                </c:pt>
                <c:pt idx="9">
                  <c:v>23.4</c:v>
                </c:pt>
                <c:pt idx="10">
                  <c:v>25.6</c:v>
                </c:pt>
                <c:pt idx="11">
                  <c:v>25.7</c:v>
                </c:pt>
                <c:pt idx="12">
                  <c:v>25.6</c:v>
                </c:pt>
                <c:pt idx="13">
                  <c:v>25.5</c:v>
                </c:pt>
                <c:pt idx="14">
                  <c:v>25.6</c:v>
                </c:pt>
                <c:pt idx="15">
                  <c:v>25.5</c:v>
                </c:pt>
                <c:pt idx="16">
                  <c:v>25.4</c:v>
                </c:pt>
                <c:pt idx="17">
                  <c:v>25</c:v>
                </c:pt>
                <c:pt idx="18">
                  <c:v>25.8</c:v>
                </c:pt>
                <c:pt idx="19">
                  <c:v>25.7</c:v>
                </c:pt>
                <c:pt idx="20">
                  <c:v>25.8</c:v>
                </c:pt>
                <c:pt idx="21">
                  <c:v>25.5</c:v>
                </c:pt>
                <c:pt idx="22">
                  <c:v>25.5</c:v>
                </c:pt>
                <c:pt idx="23">
                  <c:v>25.6</c:v>
                </c:pt>
                <c:pt idx="24">
                  <c:v>25.6</c:v>
                </c:pt>
                <c:pt idx="25">
                  <c:v>25.6</c:v>
                </c:pt>
                <c:pt idx="26">
                  <c:v>25.5</c:v>
                </c:pt>
                <c:pt idx="27">
                  <c:v>25.5</c:v>
                </c:pt>
                <c:pt idx="28">
                  <c:v>25.5</c:v>
                </c:pt>
                <c:pt idx="29">
                  <c:v>25.6</c:v>
                </c:pt>
                <c:pt idx="30">
                  <c:v>25.5</c:v>
                </c:pt>
                <c:pt idx="31">
                  <c:v>25.4</c:v>
                </c:pt>
                <c:pt idx="32">
                  <c:v>25.3</c:v>
                </c:pt>
                <c:pt idx="33">
                  <c:v>25.3</c:v>
                </c:pt>
                <c:pt idx="34">
                  <c:v>25.2</c:v>
                </c:pt>
                <c:pt idx="35">
                  <c:v>25.2</c:v>
                </c:pt>
                <c:pt idx="36">
                  <c:v>25.3</c:v>
                </c:pt>
                <c:pt idx="37">
                  <c:v>25.4</c:v>
                </c:pt>
                <c:pt idx="38">
                  <c:v>25.4</c:v>
                </c:pt>
                <c:pt idx="39">
                  <c:v>25.1</c:v>
                </c:pt>
                <c:pt idx="40">
                  <c:v>25.4</c:v>
                </c:pt>
                <c:pt idx="41">
                  <c:v>25.3</c:v>
                </c:pt>
                <c:pt idx="42">
                  <c:v>25.4</c:v>
                </c:pt>
                <c:pt idx="43">
                  <c:v>25.2</c:v>
                </c:pt>
                <c:pt idx="44">
                  <c:v>24.4</c:v>
                </c:pt>
                <c:pt idx="45">
                  <c:v>27</c:v>
                </c:pt>
                <c:pt idx="46">
                  <c:v>25.5</c:v>
                </c:pt>
                <c:pt idx="47">
                  <c:v>25.4</c:v>
                </c:pt>
                <c:pt idx="48">
                  <c:v>25.3</c:v>
                </c:pt>
                <c:pt idx="49">
                  <c:v>25.1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04-433E-AE24-B202F6A92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921032"/>
        <c:axId val="424926936"/>
      </c:lineChart>
      <c:dateAx>
        <c:axId val="4249210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926936"/>
        <c:crosses val="autoZero"/>
        <c:auto val="1"/>
        <c:lblOffset val="100"/>
        <c:baseTimeUnit val="days"/>
      </c:dateAx>
      <c:valAx>
        <c:axId val="424926936"/>
        <c:scaling>
          <c:orientation val="minMax"/>
          <c:max val="3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921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'Relative humidity'!$B$1:$B$2</c:f>
              <c:strCache>
                <c:ptCount val="2"/>
                <c:pt idx="0">
                  <c:v>inAirHumid</c:v>
                </c:pt>
                <c:pt idx="1">
                  <c:v>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'Relative humidity'!$A$3:$A$52</c:f>
              <c:numCache>
                <c:formatCode>m/d/yyyy</c:formatCode>
                <c:ptCount val="50"/>
                <c:pt idx="0">
                  <c:v>44382</c:v>
                </c:pt>
                <c:pt idx="1">
                  <c:v>44383</c:v>
                </c:pt>
                <c:pt idx="2">
                  <c:v>44384</c:v>
                </c:pt>
                <c:pt idx="3">
                  <c:v>44385</c:v>
                </c:pt>
                <c:pt idx="4">
                  <c:v>44386</c:v>
                </c:pt>
                <c:pt idx="5">
                  <c:v>44387</c:v>
                </c:pt>
                <c:pt idx="6">
                  <c:v>44388</c:v>
                </c:pt>
                <c:pt idx="7">
                  <c:v>44389</c:v>
                </c:pt>
                <c:pt idx="8">
                  <c:v>44390</c:v>
                </c:pt>
                <c:pt idx="9">
                  <c:v>44391</c:v>
                </c:pt>
                <c:pt idx="10">
                  <c:v>44392</c:v>
                </c:pt>
                <c:pt idx="11">
                  <c:v>44393</c:v>
                </c:pt>
                <c:pt idx="12">
                  <c:v>44394</c:v>
                </c:pt>
                <c:pt idx="13">
                  <c:v>44395</c:v>
                </c:pt>
                <c:pt idx="14">
                  <c:v>44396</c:v>
                </c:pt>
                <c:pt idx="15">
                  <c:v>44397</c:v>
                </c:pt>
                <c:pt idx="16">
                  <c:v>44398</c:v>
                </c:pt>
                <c:pt idx="17">
                  <c:v>44399</c:v>
                </c:pt>
                <c:pt idx="18">
                  <c:v>44400</c:v>
                </c:pt>
                <c:pt idx="19">
                  <c:v>44401</c:v>
                </c:pt>
                <c:pt idx="20">
                  <c:v>44402</c:v>
                </c:pt>
                <c:pt idx="21">
                  <c:v>44403</c:v>
                </c:pt>
                <c:pt idx="22">
                  <c:v>44404</c:v>
                </c:pt>
                <c:pt idx="23">
                  <c:v>44405</c:v>
                </c:pt>
                <c:pt idx="24">
                  <c:v>44406</c:v>
                </c:pt>
                <c:pt idx="25">
                  <c:v>44407</c:v>
                </c:pt>
                <c:pt idx="26">
                  <c:v>44408</c:v>
                </c:pt>
                <c:pt idx="27">
                  <c:v>44409</c:v>
                </c:pt>
                <c:pt idx="28">
                  <c:v>44410</c:v>
                </c:pt>
                <c:pt idx="29">
                  <c:v>44411</c:v>
                </c:pt>
                <c:pt idx="30">
                  <c:v>44412</c:v>
                </c:pt>
                <c:pt idx="31">
                  <c:v>44413</c:v>
                </c:pt>
                <c:pt idx="32">
                  <c:v>44414</c:v>
                </c:pt>
                <c:pt idx="33">
                  <c:v>44415</c:v>
                </c:pt>
                <c:pt idx="34">
                  <c:v>44416</c:v>
                </c:pt>
                <c:pt idx="35">
                  <c:v>44417</c:v>
                </c:pt>
                <c:pt idx="36">
                  <c:v>44418</c:v>
                </c:pt>
                <c:pt idx="37">
                  <c:v>44419</c:v>
                </c:pt>
                <c:pt idx="38">
                  <c:v>44420</c:v>
                </c:pt>
                <c:pt idx="39">
                  <c:v>44421</c:v>
                </c:pt>
                <c:pt idx="40">
                  <c:v>44422</c:v>
                </c:pt>
                <c:pt idx="41">
                  <c:v>44423</c:v>
                </c:pt>
                <c:pt idx="42">
                  <c:v>44424</c:v>
                </c:pt>
                <c:pt idx="43">
                  <c:v>44425</c:v>
                </c:pt>
                <c:pt idx="44">
                  <c:v>44426</c:v>
                </c:pt>
                <c:pt idx="45">
                  <c:v>44427</c:v>
                </c:pt>
                <c:pt idx="46">
                  <c:v>44428</c:v>
                </c:pt>
                <c:pt idx="47">
                  <c:v>44429</c:v>
                </c:pt>
                <c:pt idx="48">
                  <c:v>44430</c:v>
                </c:pt>
                <c:pt idx="49">
                  <c:v>44431</c:v>
                </c:pt>
              </c:numCache>
            </c:numRef>
          </c:cat>
          <c:val>
            <c:numRef>
              <c:f>'Relative humidity'!$B$3:$B$52</c:f>
              <c:numCache>
                <c:formatCode>0.00</c:formatCode>
                <c:ptCount val="50"/>
                <c:pt idx="0">
                  <c:v>67.900000000000006</c:v>
                </c:pt>
                <c:pt idx="1">
                  <c:v>72</c:v>
                </c:pt>
                <c:pt idx="2">
                  <c:v>75.7</c:v>
                </c:pt>
                <c:pt idx="3">
                  <c:v>74.8</c:v>
                </c:pt>
                <c:pt idx="4">
                  <c:v>75.099999999999994</c:v>
                </c:pt>
                <c:pt idx="5">
                  <c:v>76.599999999999994</c:v>
                </c:pt>
                <c:pt idx="6">
                  <c:v>76.5</c:v>
                </c:pt>
                <c:pt idx="7">
                  <c:v>75.7</c:v>
                </c:pt>
                <c:pt idx="8">
                  <c:v>75.599999999999994</c:v>
                </c:pt>
                <c:pt idx="9">
                  <c:v>73</c:v>
                </c:pt>
                <c:pt idx="10">
                  <c:v>70.900000000000006</c:v>
                </c:pt>
                <c:pt idx="11">
                  <c:v>70.3</c:v>
                </c:pt>
                <c:pt idx="12">
                  <c:v>68.7</c:v>
                </c:pt>
                <c:pt idx="13">
                  <c:v>69</c:v>
                </c:pt>
                <c:pt idx="14">
                  <c:v>69.099999999999994</c:v>
                </c:pt>
                <c:pt idx="15">
                  <c:v>68.7</c:v>
                </c:pt>
                <c:pt idx="16">
                  <c:v>68.8</c:v>
                </c:pt>
                <c:pt idx="17">
                  <c:v>69.400000000000006</c:v>
                </c:pt>
                <c:pt idx="18">
                  <c:v>69.2</c:v>
                </c:pt>
                <c:pt idx="19">
                  <c:v>70.5</c:v>
                </c:pt>
                <c:pt idx="20">
                  <c:v>72</c:v>
                </c:pt>
                <c:pt idx="21">
                  <c:v>69.5</c:v>
                </c:pt>
                <c:pt idx="22">
                  <c:v>70</c:v>
                </c:pt>
                <c:pt idx="23">
                  <c:v>70</c:v>
                </c:pt>
                <c:pt idx="24">
                  <c:v>70.2</c:v>
                </c:pt>
                <c:pt idx="25">
                  <c:v>69.3</c:v>
                </c:pt>
                <c:pt idx="26">
                  <c:v>69.400000000000006</c:v>
                </c:pt>
                <c:pt idx="27">
                  <c:v>71.400000000000006</c:v>
                </c:pt>
                <c:pt idx="28">
                  <c:v>70.5</c:v>
                </c:pt>
                <c:pt idx="29">
                  <c:v>71.2</c:v>
                </c:pt>
                <c:pt idx="30">
                  <c:v>71.2</c:v>
                </c:pt>
                <c:pt idx="31">
                  <c:v>72.3</c:v>
                </c:pt>
                <c:pt idx="32">
                  <c:v>73.5</c:v>
                </c:pt>
                <c:pt idx="33">
                  <c:v>78.599999999999994</c:v>
                </c:pt>
                <c:pt idx="34">
                  <c:v>72.900000000000006</c:v>
                </c:pt>
                <c:pt idx="35">
                  <c:v>72.599999999999994</c:v>
                </c:pt>
                <c:pt idx="36">
                  <c:v>72</c:v>
                </c:pt>
                <c:pt idx="37">
                  <c:v>73.7</c:v>
                </c:pt>
                <c:pt idx="38">
                  <c:v>73.099999999999994</c:v>
                </c:pt>
                <c:pt idx="39">
                  <c:v>73.099999999999994</c:v>
                </c:pt>
                <c:pt idx="40">
                  <c:v>73.599999999999994</c:v>
                </c:pt>
                <c:pt idx="41">
                  <c:v>73.8</c:v>
                </c:pt>
                <c:pt idx="42">
                  <c:v>74.900000000000006</c:v>
                </c:pt>
                <c:pt idx="43">
                  <c:v>76.3</c:v>
                </c:pt>
                <c:pt idx="44">
                  <c:v>76.400000000000006</c:v>
                </c:pt>
                <c:pt idx="45">
                  <c:v>77.3</c:v>
                </c:pt>
                <c:pt idx="46">
                  <c:v>76.599999999999994</c:v>
                </c:pt>
                <c:pt idx="47">
                  <c:v>78</c:v>
                </c:pt>
                <c:pt idx="48">
                  <c:v>77.8</c:v>
                </c:pt>
                <c:pt idx="49">
                  <c:v>77.099999999999994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B3-4916-A585-1BEF0B2C1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921032"/>
        <c:axId val="424926936"/>
      </c:lineChart>
      <c:dateAx>
        <c:axId val="4249210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926936"/>
        <c:crosses val="autoZero"/>
        <c:auto val="1"/>
        <c:lblOffset val="100"/>
        <c:baseTimeUnit val="days"/>
      </c:dateAx>
      <c:valAx>
        <c:axId val="424926936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921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'CO2 Concentration'!$B$1:$B$2</c:f>
              <c:strCache>
                <c:ptCount val="2"/>
                <c:pt idx="0">
                  <c:v>inCO2Dens</c:v>
                </c:pt>
                <c:pt idx="1">
                  <c:v>ppm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'CO2 Concentration'!$A$3:$A$52</c:f>
              <c:numCache>
                <c:formatCode>m/d/yyyy</c:formatCode>
                <c:ptCount val="50"/>
                <c:pt idx="0">
                  <c:v>44382</c:v>
                </c:pt>
                <c:pt idx="1">
                  <c:v>44383</c:v>
                </c:pt>
                <c:pt idx="2">
                  <c:v>44384</c:v>
                </c:pt>
                <c:pt idx="3">
                  <c:v>44385</c:v>
                </c:pt>
                <c:pt idx="4">
                  <c:v>44386</c:v>
                </c:pt>
                <c:pt idx="5">
                  <c:v>44387</c:v>
                </c:pt>
                <c:pt idx="6">
                  <c:v>44388</c:v>
                </c:pt>
                <c:pt idx="7">
                  <c:v>44389</c:v>
                </c:pt>
                <c:pt idx="8">
                  <c:v>44390</c:v>
                </c:pt>
                <c:pt idx="9">
                  <c:v>44391</c:v>
                </c:pt>
                <c:pt idx="10">
                  <c:v>44392</c:v>
                </c:pt>
                <c:pt idx="11">
                  <c:v>44393</c:v>
                </c:pt>
                <c:pt idx="12">
                  <c:v>44394</c:v>
                </c:pt>
                <c:pt idx="13">
                  <c:v>44395</c:v>
                </c:pt>
                <c:pt idx="14">
                  <c:v>44396</c:v>
                </c:pt>
                <c:pt idx="15">
                  <c:v>44397</c:v>
                </c:pt>
                <c:pt idx="16">
                  <c:v>44398</c:v>
                </c:pt>
                <c:pt idx="17">
                  <c:v>44399</c:v>
                </c:pt>
                <c:pt idx="18">
                  <c:v>44400</c:v>
                </c:pt>
                <c:pt idx="19">
                  <c:v>44401</c:v>
                </c:pt>
                <c:pt idx="20">
                  <c:v>44402</c:v>
                </c:pt>
                <c:pt idx="21">
                  <c:v>44403</c:v>
                </c:pt>
                <c:pt idx="22">
                  <c:v>44404</c:v>
                </c:pt>
                <c:pt idx="23">
                  <c:v>44405</c:v>
                </c:pt>
                <c:pt idx="24">
                  <c:v>44406</c:v>
                </c:pt>
                <c:pt idx="25">
                  <c:v>44407</c:v>
                </c:pt>
                <c:pt idx="26">
                  <c:v>44408</c:v>
                </c:pt>
                <c:pt idx="27">
                  <c:v>44409</c:v>
                </c:pt>
                <c:pt idx="28">
                  <c:v>44410</c:v>
                </c:pt>
                <c:pt idx="29">
                  <c:v>44411</c:v>
                </c:pt>
                <c:pt idx="30">
                  <c:v>44412</c:v>
                </c:pt>
                <c:pt idx="31">
                  <c:v>44413</c:v>
                </c:pt>
                <c:pt idx="32">
                  <c:v>44414</c:v>
                </c:pt>
                <c:pt idx="33">
                  <c:v>44415</c:v>
                </c:pt>
                <c:pt idx="34">
                  <c:v>44416</c:v>
                </c:pt>
                <c:pt idx="35">
                  <c:v>44417</c:v>
                </c:pt>
                <c:pt idx="36">
                  <c:v>44418</c:v>
                </c:pt>
                <c:pt idx="37">
                  <c:v>44419</c:v>
                </c:pt>
                <c:pt idx="38">
                  <c:v>44420</c:v>
                </c:pt>
                <c:pt idx="39">
                  <c:v>44421</c:v>
                </c:pt>
                <c:pt idx="40">
                  <c:v>44422</c:v>
                </c:pt>
                <c:pt idx="41">
                  <c:v>44423</c:v>
                </c:pt>
                <c:pt idx="42">
                  <c:v>44424</c:v>
                </c:pt>
                <c:pt idx="43">
                  <c:v>44425</c:v>
                </c:pt>
                <c:pt idx="44">
                  <c:v>44426</c:v>
                </c:pt>
                <c:pt idx="45">
                  <c:v>44427</c:v>
                </c:pt>
                <c:pt idx="46">
                  <c:v>44428</c:v>
                </c:pt>
                <c:pt idx="47">
                  <c:v>44429</c:v>
                </c:pt>
                <c:pt idx="48">
                  <c:v>44430</c:v>
                </c:pt>
                <c:pt idx="49">
                  <c:v>44431</c:v>
                </c:pt>
              </c:numCache>
            </c:numRef>
          </c:cat>
          <c:val>
            <c:numRef>
              <c:f>'CO2 Concentration'!$B$3:$B$52</c:f>
              <c:numCache>
                <c:formatCode>General</c:formatCode>
                <c:ptCount val="50"/>
                <c:pt idx="0">
                  <c:v>972</c:v>
                </c:pt>
                <c:pt idx="1">
                  <c:v>929</c:v>
                </c:pt>
                <c:pt idx="2">
                  <c:v>942</c:v>
                </c:pt>
                <c:pt idx="3">
                  <c:v>1061</c:v>
                </c:pt>
                <c:pt idx="4">
                  <c:v>1063</c:v>
                </c:pt>
                <c:pt idx="5">
                  <c:v>1093</c:v>
                </c:pt>
                <c:pt idx="6">
                  <c:v>1088</c:v>
                </c:pt>
                <c:pt idx="7">
                  <c:v>1033</c:v>
                </c:pt>
                <c:pt idx="8">
                  <c:v>994</c:v>
                </c:pt>
                <c:pt idx="9">
                  <c:v>1066</c:v>
                </c:pt>
                <c:pt idx="10">
                  <c:v>1021</c:v>
                </c:pt>
                <c:pt idx="11">
                  <c:v>1019</c:v>
                </c:pt>
                <c:pt idx="12">
                  <c:v>1076</c:v>
                </c:pt>
                <c:pt idx="13">
                  <c:v>1074</c:v>
                </c:pt>
                <c:pt idx="14">
                  <c:v>1027</c:v>
                </c:pt>
                <c:pt idx="15">
                  <c:v>1029</c:v>
                </c:pt>
                <c:pt idx="16">
                  <c:v>1055</c:v>
                </c:pt>
                <c:pt idx="17">
                  <c:v>1064</c:v>
                </c:pt>
                <c:pt idx="18">
                  <c:v>1038</c:v>
                </c:pt>
                <c:pt idx="19">
                  <c:v>1074</c:v>
                </c:pt>
                <c:pt idx="20">
                  <c:v>990</c:v>
                </c:pt>
                <c:pt idx="21">
                  <c:v>984</c:v>
                </c:pt>
                <c:pt idx="22">
                  <c:v>1022</c:v>
                </c:pt>
                <c:pt idx="23">
                  <c:v>1042</c:v>
                </c:pt>
                <c:pt idx="24">
                  <c:v>1030</c:v>
                </c:pt>
                <c:pt idx="25">
                  <c:v>1036</c:v>
                </c:pt>
                <c:pt idx="26">
                  <c:v>1043</c:v>
                </c:pt>
                <c:pt idx="27">
                  <c:v>1028</c:v>
                </c:pt>
                <c:pt idx="28">
                  <c:v>1016</c:v>
                </c:pt>
                <c:pt idx="29">
                  <c:v>1024</c:v>
                </c:pt>
                <c:pt idx="30">
                  <c:v>1028</c:v>
                </c:pt>
                <c:pt idx="31">
                  <c:v>1032</c:v>
                </c:pt>
                <c:pt idx="32">
                  <c:v>1053</c:v>
                </c:pt>
                <c:pt idx="33">
                  <c:v>1063</c:v>
                </c:pt>
                <c:pt idx="34">
                  <c:v>1043</c:v>
                </c:pt>
                <c:pt idx="35">
                  <c:v>1040</c:v>
                </c:pt>
                <c:pt idx="36">
                  <c:v>1037</c:v>
                </c:pt>
                <c:pt idx="37">
                  <c:v>1045</c:v>
                </c:pt>
                <c:pt idx="38">
                  <c:v>1043</c:v>
                </c:pt>
                <c:pt idx="39">
                  <c:v>1036</c:v>
                </c:pt>
                <c:pt idx="40">
                  <c:v>1048</c:v>
                </c:pt>
                <c:pt idx="41">
                  <c:v>1047</c:v>
                </c:pt>
                <c:pt idx="42">
                  <c:v>1050</c:v>
                </c:pt>
                <c:pt idx="43">
                  <c:v>1056</c:v>
                </c:pt>
                <c:pt idx="44">
                  <c:v>1058</c:v>
                </c:pt>
                <c:pt idx="45">
                  <c:v>1051</c:v>
                </c:pt>
                <c:pt idx="46">
                  <c:v>1051</c:v>
                </c:pt>
                <c:pt idx="47">
                  <c:v>1040</c:v>
                </c:pt>
                <c:pt idx="48">
                  <c:v>1040</c:v>
                </c:pt>
                <c:pt idx="49">
                  <c:v>1040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07-4411-9DEF-B02D1B51B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921032"/>
        <c:axId val="424926936"/>
      </c:lineChart>
      <c:dateAx>
        <c:axId val="4249210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926936"/>
        <c:crosses val="autoZero"/>
        <c:auto val="1"/>
        <c:lblOffset val="100"/>
        <c:baseTimeUnit val="days"/>
      </c:dateAx>
      <c:valAx>
        <c:axId val="424926936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921032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'Wind speed'!$B$1:$B$2</c:f>
              <c:strCache>
                <c:ptCount val="2"/>
                <c:pt idx="0">
                  <c:v>inWindSpeed</c:v>
                </c:pt>
                <c:pt idx="1">
                  <c:v>m/s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'Wind speed'!$A$3:$A$52</c:f>
              <c:numCache>
                <c:formatCode>m/d/yyyy</c:formatCode>
                <c:ptCount val="50"/>
                <c:pt idx="0">
                  <c:v>44382</c:v>
                </c:pt>
                <c:pt idx="1">
                  <c:v>44383</c:v>
                </c:pt>
                <c:pt idx="2">
                  <c:v>44384</c:v>
                </c:pt>
                <c:pt idx="3">
                  <c:v>44385</c:v>
                </c:pt>
                <c:pt idx="4">
                  <c:v>44386</c:v>
                </c:pt>
                <c:pt idx="5">
                  <c:v>44387</c:v>
                </c:pt>
                <c:pt idx="6">
                  <c:v>44388</c:v>
                </c:pt>
                <c:pt idx="7">
                  <c:v>44389</c:v>
                </c:pt>
                <c:pt idx="8">
                  <c:v>44390</c:v>
                </c:pt>
                <c:pt idx="9">
                  <c:v>44391</c:v>
                </c:pt>
                <c:pt idx="10">
                  <c:v>44392</c:v>
                </c:pt>
                <c:pt idx="11">
                  <c:v>44393</c:v>
                </c:pt>
                <c:pt idx="12">
                  <c:v>44394</c:v>
                </c:pt>
                <c:pt idx="13">
                  <c:v>44395</c:v>
                </c:pt>
                <c:pt idx="14">
                  <c:v>44396</c:v>
                </c:pt>
                <c:pt idx="15">
                  <c:v>44397</c:v>
                </c:pt>
                <c:pt idx="16">
                  <c:v>44398</c:v>
                </c:pt>
                <c:pt idx="17">
                  <c:v>44399</c:v>
                </c:pt>
                <c:pt idx="18">
                  <c:v>44400</c:v>
                </c:pt>
                <c:pt idx="19">
                  <c:v>44401</c:v>
                </c:pt>
                <c:pt idx="20">
                  <c:v>44402</c:v>
                </c:pt>
                <c:pt idx="21">
                  <c:v>44403</c:v>
                </c:pt>
                <c:pt idx="22">
                  <c:v>44404</c:v>
                </c:pt>
                <c:pt idx="23">
                  <c:v>44405</c:v>
                </c:pt>
                <c:pt idx="24">
                  <c:v>44406</c:v>
                </c:pt>
                <c:pt idx="25">
                  <c:v>44407</c:v>
                </c:pt>
                <c:pt idx="26">
                  <c:v>44408</c:v>
                </c:pt>
                <c:pt idx="27">
                  <c:v>44409</c:v>
                </c:pt>
                <c:pt idx="28">
                  <c:v>44410</c:v>
                </c:pt>
                <c:pt idx="29">
                  <c:v>44411</c:v>
                </c:pt>
                <c:pt idx="30">
                  <c:v>44412</c:v>
                </c:pt>
                <c:pt idx="31">
                  <c:v>44413</c:v>
                </c:pt>
                <c:pt idx="32">
                  <c:v>44414</c:v>
                </c:pt>
                <c:pt idx="33">
                  <c:v>44415</c:v>
                </c:pt>
                <c:pt idx="34">
                  <c:v>44416</c:v>
                </c:pt>
                <c:pt idx="35">
                  <c:v>44417</c:v>
                </c:pt>
                <c:pt idx="36">
                  <c:v>44418</c:v>
                </c:pt>
                <c:pt idx="37">
                  <c:v>44419</c:v>
                </c:pt>
                <c:pt idx="38">
                  <c:v>44420</c:v>
                </c:pt>
                <c:pt idx="39">
                  <c:v>44421</c:v>
                </c:pt>
                <c:pt idx="40">
                  <c:v>44422</c:v>
                </c:pt>
                <c:pt idx="41">
                  <c:v>44423</c:v>
                </c:pt>
                <c:pt idx="42">
                  <c:v>44424</c:v>
                </c:pt>
                <c:pt idx="43">
                  <c:v>44425</c:v>
                </c:pt>
                <c:pt idx="44">
                  <c:v>44426</c:v>
                </c:pt>
                <c:pt idx="45">
                  <c:v>44427</c:v>
                </c:pt>
                <c:pt idx="46">
                  <c:v>44428</c:v>
                </c:pt>
                <c:pt idx="47">
                  <c:v>44429</c:v>
                </c:pt>
                <c:pt idx="48">
                  <c:v>44430</c:v>
                </c:pt>
                <c:pt idx="49">
                  <c:v>44431</c:v>
                </c:pt>
              </c:numCache>
            </c:numRef>
          </c:cat>
          <c:val>
            <c:numRef>
              <c:f>'Wind speed'!$B$3:$B$52</c:f>
              <c:numCache>
                <c:formatCode>General</c:formatCode>
                <c:ptCount val="50"/>
                <c:pt idx="0">
                  <c:v>0.35</c:v>
                </c:pt>
                <c:pt idx="1">
                  <c:v>0.45</c:v>
                </c:pt>
                <c:pt idx="2">
                  <c:v>0.46</c:v>
                </c:pt>
                <c:pt idx="3">
                  <c:v>0.43</c:v>
                </c:pt>
                <c:pt idx="4">
                  <c:v>0.42</c:v>
                </c:pt>
                <c:pt idx="5">
                  <c:v>0.44</c:v>
                </c:pt>
                <c:pt idx="6">
                  <c:v>0.43</c:v>
                </c:pt>
                <c:pt idx="7">
                  <c:v>0.43</c:v>
                </c:pt>
                <c:pt idx="8">
                  <c:v>0.43</c:v>
                </c:pt>
                <c:pt idx="9">
                  <c:v>0.43</c:v>
                </c:pt>
                <c:pt idx="10">
                  <c:v>0.43</c:v>
                </c:pt>
                <c:pt idx="11">
                  <c:v>0.42</c:v>
                </c:pt>
                <c:pt idx="12">
                  <c:v>0.41</c:v>
                </c:pt>
                <c:pt idx="13">
                  <c:v>0.42</c:v>
                </c:pt>
                <c:pt idx="14">
                  <c:v>0.42</c:v>
                </c:pt>
                <c:pt idx="15">
                  <c:v>0.43</c:v>
                </c:pt>
                <c:pt idx="16">
                  <c:v>0.43</c:v>
                </c:pt>
                <c:pt idx="17">
                  <c:v>0.44</c:v>
                </c:pt>
                <c:pt idx="18">
                  <c:v>0.42</c:v>
                </c:pt>
                <c:pt idx="19">
                  <c:v>0.42</c:v>
                </c:pt>
                <c:pt idx="20">
                  <c:v>0.43</c:v>
                </c:pt>
                <c:pt idx="21">
                  <c:v>0.42</c:v>
                </c:pt>
                <c:pt idx="22">
                  <c:v>0.42</c:v>
                </c:pt>
                <c:pt idx="23">
                  <c:v>0.42</c:v>
                </c:pt>
                <c:pt idx="24">
                  <c:v>0.42</c:v>
                </c:pt>
                <c:pt idx="25">
                  <c:v>0.4</c:v>
                </c:pt>
                <c:pt idx="26">
                  <c:v>0.39</c:v>
                </c:pt>
                <c:pt idx="27">
                  <c:v>0.39</c:v>
                </c:pt>
                <c:pt idx="28">
                  <c:v>0.4</c:v>
                </c:pt>
                <c:pt idx="29">
                  <c:v>0.39</c:v>
                </c:pt>
                <c:pt idx="30">
                  <c:v>0.39</c:v>
                </c:pt>
                <c:pt idx="31">
                  <c:v>0.41</c:v>
                </c:pt>
                <c:pt idx="32">
                  <c:v>0.44</c:v>
                </c:pt>
                <c:pt idx="33">
                  <c:v>0.44</c:v>
                </c:pt>
                <c:pt idx="34">
                  <c:v>0.44</c:v>
                </c:pt>
                <c:pt idx="35">
                  <c:v>0.44</c:v>
                </c:pt>
                <c:pt idx="36">
                  <c:v>0.43</c:v>
                </c:pt>
                <c:pt idx="37">
                  <c:v>0.43</c:v>
                </c:pt>
                <c:pt idx="38">
                  <c:v>0.43</c:v>
                </c:pt>
                <c:pt idx="39">
                  <c:v>0.42</c:v>
                </c:pt>
                <c:pt idx="40">
                  <c:v>0.41</c:v>
                </c:pt>
                <c:pt idx="41">
                  <c:v>0.41</c:v>
                </c:pt>
                <c:pt idx="42">
                  <c:v>0.37</c:v>
                </c:pt>
                <c:pt idx="43">
                  <c:v>0.3</c:v>
                </c:pt>
                <c:pt idx="44">
                  <c:v>0.31</c:v>
                </c:pt>
                <c:pt idx="45">
                  <c:v>0.3</c:v>
                </c:pt>
                <c:pt idx="46">
                  <c:v>0.32</c:v>
                </c:pt>
                <c:pt idx="47">
                  <c:v>0.33</c:v>
                </c:pt>
                <c:pt idx="48">
                  <c:v>0.33</c:v>
                </c:pt>
                <c:pt idx="49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06-4E86-AB77-1C7C2CC0E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921032"/>
        <c:axId val="424926936"/>
      </c:lineChart>
      <c:dateAx>
        <c:axId val="4249210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926936"/>
        <c:crosses val="autoZero"/>
        <c:auto val="1"/>
        <c:lblOffset val="100"/>
        <c:baseTimeUnit val="days"/>
      </c:dateAx>
      <c:valAx>
        <c:axId val="424926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921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'EC and pH'!$B$1:$B$2</c:f>
              <c:strCache>
                <c:ptCount val="2"/>
                <c:pt idx="0">
                  <c:v>ECMes</c:v>
                </c:pt>
                <c:pt idx="1">
                  <c:v>mS/cm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'EC and pH'!$A$3:$A$52</c:f>
              <c:numCache>
                <c:formatCode>m/d/yyyy</c:formatCode>
                <c:ptCount val="50"/>
                <c:pt idx="0">
                  <c:v>44382</c:v>
                </c:pt>
                <c:pt idx="1">
                  <c:v>44383</c:v>
                </c:pt>
                <c:pt idx="2">
                  <c:v>44384</c:v>
                </c:pt>
                <c:pt idx="3">
                  <c:v>44385</c:v>
                </c:pt>
                <c:pt idx="4">
                  <c:v>44386</c:v>
                </c:pt>
                <c:pt idx="5">
                  <c:v>44387</c:v>
                </c:pt>
                <c:pt idx="6">
                  <c:v>44388</c:v>
                </c:pt>
                <c:pt idx="7">
                  <c:v>44389</c:v>
                </c:pt>
                <c:pt idx="8">
                  <c:v>44390</c:v>
                </c:pt>
                <c:pt idx="9">
                  <c:v>44391</c:v>
                </c:pt>
                <c:pt idx="10">
                  <c:v>44392</c:v>
                </c:pt>
                <c:pt idx="11">
                  <c:v>44393</c:v>
                </c:pt>
                <c:pt idx="12">
                  <c:v>44394</c:v>
                </c:pt>
                <c:pt idx="13">
                  <c:v>44395</c:v>
                </c:pt>
                <c:pt idx="14">
                  <c:v>44396</c:v>
                </c:pt>
                <c:pt idx="15">
                  <c:v>44397</c:v>
                </c:pt>
                <c:pt idx="16">
                  <c:v>44398</c:v>
                </c:pt>
                <c:pt idx="17">
                  <c:v>44399</c:v>
                </c:pt>
                <c:pt idx="18">
                  <c:v>44400</c:v>
                </c:pt>
                <c:pt idx="19">
                  <c:v>44401</c:v>
                </c:pt>
                <c:pt idx="20">
                  <c:v>44402</c:v>
                </c:pt>
                <c:pt idx="21">
                  <c:v>44403</c:v>
                </c:pt>
                <c:pt idx="22">
                  <c:v>44404</c:v>
                </c:pt>
                <c:pt idx="23">
                  <c:v>44405</c:v>
                </c:pt>
                <c:pt idx="24">
                  <c:v>44406</c:v>
                </c:pt>
                <c:pt idx="25">
                  <c:v>44407</c:v>
                </c:pt>
                <c:pt idx="26">
                  <c:v>44408</c:v>
                </c:pt>
                <c:pt idx="27">
                  <c:v>44409</c:v>
                </c:pt>
                <c:pt idx="28">
                  <c:v>44410</c:v>
                </c:pt>
                <c:pt idx="29">
                  <c:v>44411</c:v>
                </c:pt>
                <c:pt idx="30">
                  <c:v>44412</c:v>
                </c:pt>
                <c:pt idx="31">
                  <c:v>44413</c:v>
                </c:pt>
                <c:pt idx="32">
                  <c:v>44414</c:v>
                </c:pt>
                <c:pt idx="33">
                  <c:v>44415</c:v>
                </c:pt>
                <c:pt idx="34">
                  <c:v>44416</c:v>
                </c:pt>
                <c:pt idx="35">
                  <c:v>44417</c:v>
                </c:pt>
                <c:pt idx="36">
                  <c:v>44418</c:v>
                </c:pt>
                <c:pt idx="37">
                  <c:v>44419</c:v>
                </c:pt>
                <c:pt idx="38">
                  <c:v>44420</c:v>
                </c:pt>
                <c:pt idx="39">
                  <c:v>44421</c:v>
                </c:pt>
                <c:pt idx="40">
                  <c:v>44422</c:v>
                </c:pt>
                <c:pt idx="41">
                  <c:v>44423</c:v>
                </c:pt>
                <c:pt idx="42">
                  <c:v>44424</c:v>
                </c:pt>
                <c:pt idx="43">
                  <c:v>44425</c:v>
                </c:pt>
                <c:pt idx="44">
                  <c:v>44426</c:v>
                </c:pt>
                <c:pt idx="45">
                  <c:v>44427</c:v>
                </c:pt>
                <c:pt idx="46">
                  <c:v>44428</c:v>
                </c:pt>
                <c:pt idx="47">
                  <c:v>44429</c:v>
                </c:pt>
                <c:pt idx="48">
                  <c:v>44430</c:v>
                </c:pt>
                <c:pt idx="49">
                  <c:v>44431</c:v>
                </c:pt>
              </c:numCache>
            </c:numRef>
          </c:cat>
          <c:val>
            <c:numRef>
              <c:f>'EC and pH'!$B$3:$B$52</c:f>
              <c:numCache>
                <c:formatCode>General</c:formatCode>
                <c:ptCount val="50"/>
                <c:pt idx="0">
                  <c:v>1.4</c:v>
                </c:pt>
                <c:pt idx="1">
                  <c:v>1.4</c:v>
                </c:pt>
                <c:pt idx="2">
                  <c:v>1.4</c:v>
                </c:pt>
                <c:pt idx="3">
                  <c:v>1.4</c:v>
                </c:pt>
                <c:pt idx="4">
                  <c:v>1.4</c:v>
                </c:pt>
                <c:pt idx="5">
                  <c:v>1.4</c:v>
                </c:pt>
                <c:pt idx="6">
                  <c:v>1.4</c:v>
                </c:pt>
                <c:pt idx="7">
                  <c:v>1.4</c:v>
                </c:pt>
                <c:pt idx="8">
                  <c:v>1.4</c:v>
                </c:pt>
                <c:pt idx="9">
                  <c:v>1.4</c:v>
                </c:pt>
                <c:pt idx="10">
                  <c:v>2.2000000000000002</c:v>
                </c:pt>
                <c:pt idx="11">
                  <c:v>2.2000000000000002</c:v>
                </c:pt>
                <c:pt idx="12">
                  <c:v>2.2000000000000002</c:v>
                </c:pt>
                <c:pt idx="13">
                  <c:v>2.2000000000000002</c:v>
                </c:pt>
                <c:pt idx="14">
                  <c:v>2.2000000000000002</c:v>
                </c:pt>
                <c:pt idx="15">
                  <c:v>2.2000000000000002</c:v>
                </c:pt>
                <c:pt idx="16">
                  <c:v>2.2000000000000002</c:v>
                </c:pt>
                <c:pt idx="17">
                  <c:v>2.2000000000000002</c:v>
                </c:pt>
                <c:pt idx="18">
                  <c:v>2.2000000000000002</c:v>
                </c:pt>
                <c:pt idx="19">
                  <c:v>2.2000000000000002</c:v>
                </c:pt>
                <c:pt idx="20">
                  <c:v>2.2000000000000002</c:v>
                </c:pt>
                <c:pt idx="21">
                  <c:v>2.2000000000000002</c:v>
                </c:pt>
                <c:pt idx="22">
                  <c:v>2.2000000000000002</c:v>
                </c:pt>
                <c:pt idx="23">
                  <c:v>2.2000000000000002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2.1</c:v>
                </c:pt>
                <c:pt idx="27">
                  <c:v>2.2000000000000002</c:v>
                </c:pt>
                <c:pt idx="28">
                  <c:v>2.2000000000000002</c:v>
                </c:pt>
                <c:pt idx="29">
                  <c:v>2.2000000000000002</c:v>
                </c:pt>
                <c:pt idx="30">
                  <c:v>2.1</c:v>
                </c:pt>
                <c:pt idx="31">
                  <c:v>2.1</c:v>
                </c:pt>
                <c:pt idx="32">
                  <c:v>2.1</c:v>
                </c:pt>
                <c:pt idx="33">
                  <c:v>2.2000000000000002</c:v>
                </c:pt>
                <c:pt idx="34">
                  <c:v>2.2000000000000002</c:v>
                </c:pt>
                <c:pt idx="35">
                  <c:v>2.2000000000000002</c:v>
                </c:pt>
                <c:pt idx="36">
                  <c:v>2.1</c:v>
                </c:pt>
                <c:pt idx="37">
                  <c:v>2.2999999999999998</c:v>
                </c:pt>
                <c:pt idx="38">
                  <c:v>2.2000000000000002</c:v>
                </c:pt>
                <c:pt idx="39">
                  <c:v>2.2000000000000002</c:v>
                </c:pt>
                <c:pt idx="40">
                  <c:v>2.2000000000000002</c:v>
                </c:pt>
                <c:pt idx="41">
                  <c:v>2.2000000000000002</c:v>
                </c:pt>
                <c:pt idx="42">
                  <c:v>2.2000000000000002</c:v>
                </c:pt>
                <c:pt idx="43">
                  <c:v>2.2999999999999998</c:v>
                </c:pt>
                <c:pt idx="44">
                  <c:v>2.4</c:v>
                </c:pt>
                <c:pt idx="45">
                  <c:v>2.2999999999999998</c:v>
                </c:pt>
                <c:pt idx="46">
                  <c:v>2.4</c:v>
                </c:pt>
                <c:pt idx="47">
                  <c:v>2.2999999999999998</c:v>
                </c:pt>
                <c:pt idx="48">
                  <c:v>2.2999999999999998</c:v>
                </c:pt>
                <c:pt idx="49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0A-4388-AA6D-D58A8C010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921032"/>
        <c:axId val="424926936"/>
      </c:lineChart>
      <c:dateAx>
        <c:axId val="4249210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926936"/>
        <c:crosses val="autoZero"/>
        <c:auto val="1"/>
        <c:lblOffset val="100"/>
        <c:baseTimeUnit val="days"/>
      </c:dateAx>
      <c:valAx>
        <c:axId val="424926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921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'EC and pH'!$C$1:$C$2</c:f>
              <c:strCache>
                <c:ptCount val="2"/>
                <c:pt idx="0">
                  <c:v>pHMes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'EC and pH'!$A$3:$A$52</c:f>
              <c:numCache>
                <c:formatCode>m/d/yyyy</c:formatCode>
                <c:ptCount val="50"/>
                <c:pt idx="0">
                  <c:v>44382</c:v>
                </c:pt>
                <c:pt idx="1">
                  <c:v>44383</c:v>
                </c:pt>
                <c:pt idx="2">
                  <c:v>44384</c:v>
                </c:pt>
                <c:pt idx="3">
                  <c:v>44385</c:v>
                </c:pt>
                <c:pt idx="4">
                  <c:v>44386</c:v>
                </c:pt>
                <c:pt idx="5">
                  <c:v>44387</c:v>
                </c:pt>
                <c:pt idx="6">
                  <c:v>44388</c:v>
                </c:pt>
                <c:pt idx="7">
                  <c:v>44389</c:v>
                </c:pt>
                <c:pt idx="8">
                  <c:v>44390</c:v>
                </c:pt>
                <c:pt idx="9">
                  <c:v>44391</c:v>
                </c:pt>
                <c:pt idx="10">
                  <c:v>44392</c:v>
                </c:pt>
                <c:pt idx="11">
                  <c:v>44393</c:v>
                </c:pt>
                <c:pt idx="12">
                  <c:v>44394</c:v>
                </c:pt>
                <c:pt idx="13">
                  <c:v>44395</c:v>
                </c:pt>
                <c:pt idx="14">
                  <c:v>44396</c:v>
                </c:pt>
                <c:pt idx="15">
                  <c:v>44397</c:v>
                </c:pt>
                <c:pt idx="16">
                  <c:v>44398</c:v>
                </c:pt>
                <c:pt idx="17">
                  <c:v>44399</c:v>
                </c:pt>
                <c:pt idx="18">
                  <c:v>44400</c:v>
                </c:pt>
                <c:pt idx="19">
                  <c:v>44401</c:v>
                </c:pt>
                <c:pt idx="20">
                  <c:v>44402</c:v>
                </c:pt>
                <c:pt idx="21">
                  <c:v>44403</c:v>
                </c:pt>
                <c:pt idx="22">
                  <c:v>44404</c:v>
                </c:pt>
                <c:pt idx="23">
                  <c:v>44405</c:v>
                </c:pt>
                <c:pt idx="24">
                  <c:v>44406</c:v>
                </c:pt>
                <c:pt idx="25">
                  <c:v>44407</c:v>
                </c:pt>
                <c:pt idx="26">
                  <c:v>44408</c:v>
                </c:pt>
                <c:pt idx="27">
                  <c:v>44409</c:v>
                </c:pt>
                <c:pt idx="28">
                  <c:v>44410</c:v>
                </c:pt>
                <c:pt idx="29">
                  <c:v>44411</c:v>
                </c:pt>
                <c:pt idx="30">
                  <c:v>44412</c:v>
                </c:pt>
                <c:pt idx="31">
                  <c:v>44413</c:v>
                </c:pt>
                <c:pt idx="32">
                  <c:v>44414</c:v>
                </c:pt>
                <c:pt idx="33">
                  <c:v>44415</c:v>
                </c:pt>
                <c:pt idx="34">
                  <c:v>44416</c:v>
                </c:pt>
                <c:pt idx="35">
                  <c:v>44417</c:v>
                </c:pt>
                <c:pt idx="36">
                  <c:v>44418</c:v>
                </c:pt>
                <c:pt idx="37">
                  <c:v>44419</c:v>
                </c:pt>
                <c:pt idx="38">
                  <c:v>44420</c:v>
                </c:pt>
                <c:pt idx="39">
                  <c:v>44421</c:v>
                </c:pt>
                <c:pt idx="40">
                  <c:v>44422</c:v>
                </c:pt>
                <c:pt idx="41">
                  <c:v>44423</c:v>
                </c:pt>
                <c:pt idx="42">
                  <c:v>44424</c:v>
                </c:pt>
                <c:pt idx="43">
                  <c:v>44425</c:v>
                </c:pt>
                <c:pt idx="44">
                  <c:v>44426</c:v>
                </c:pt>
                <c:pt idx="45">
                  <c:v>44427</c:v>
                </c:pt>
                <c:pt idx="46">
                  <c:v>44428</c:v>
                </c:pt>
                <c:pt idx="47">
                  <c:v>44429</c:v>
                </c:pt>
                <c:pt idx="48">
                  <c:v>44430</c:v>
                </c:pt>
                <c:pt idx="49">
                  <c:v>44431</c:v>
                </c:pt>
              </c:numCache>
            </c:numRef>
          </c:cat>
          <c:val>
            <c:numRef>
              <c:f>'EC and pH'!$C$3:$C$52</c:f>
              <c:numCache>
                <c:formatCode>General</c:formatCode>
                <c:ptCount val="50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6.5</c:v>
                </c:pt>
                <c:pt idx="4">
                  <c:v>6.5</c:v>
                </c:pt>
                <c:pt idx="5">
                  <c:v>6.5</c:v>
                </c:pt>
                <c:pt idx="6">
                  <c:v>6.5</c:v>
                </c:pt>
                <c:pt idx="7">
                  <c:v>6.5</c:v>
                </c:pt>
                <c:pt idx="8">
                  <c:v>6.5</c:v>
                </c:pt>
                <c:pt idx="9">
                  <c:v>6.5</c:v>
                </c:pt>
                <c:pt idx="10">
                  <c:v>6.5</c:v>
                </c:pt>
                <c:pt idx="11">
                  <c:v>6.5</c:v>
                </c:pt>
                <c:pt idx="12">
                  <c:v>6.5</c:v>
                </c:pt>
                <c:pt idx="13">
                  <c:v>6.5</c:v>
                </c:pt>
                <c:pt idx="14">
                  <c:v>6.5</c:v>
                </c:pt>
                <c:pt idx="15">
                  <c:v>6.5</c:v>
                </c:pt>
                <c:pt idx="16">
                  <c:v>6.5</c:v>
                </c:pt>
                <c:pt idx="17">
                  <c:v>6.4</c:v>
                </c:pt>
                <c:pt idx="18">
                  <c:v>6.5</c:v>
                </c:pt>
                <c:pt idx="19">
                  <c:v>6.5</c:v>
                </c:pt>
                <c:pt idx="20">
                  <c:v>6.5</c:v>
                </c:pt>
                <c:pt idx="21">
                  <c:v>6.5</c:v>
                </c:pt>
                <c:pt idx="22">
                  <c:v>6.5</c:v>
                </c:pt>
                <c:pt idx="23">
                  <c:v>6.5</c:v>
                </c:pt>
                <c:pt idx="24">
                  <c:v>6.5</c:v>
                </c:pt>
                <c:pt idx="25">
                  <c:v>6.3</c:v>
                </c:pt>
                <c:pt idx="26">
                  <c:v>6.4</c:v>
                </c:pt>
                <c:pt idx="27">
                  <c:v>6.3</c:v>
                </c:pt>
                <c:pt idx="28">
                  <c:v>6.4</c:v>
                </c:pt>
                <c:pt idx="29">
                  <c:v>6.5</c:v>
                </c:pt>
                <c:pt idx="30">
                  <c:v>6.5</c:v>
                </c:pt>
                <c:pt idx="31">
                  <c:v>6.6</c:v>
                </c:pt>
                <c:pt idx="32">
                  <c:v>6.6</c:v>
                </c:pt>
                <c:pt idx="33">
                  <c:v>6.5</c:v>
                </c:pt>
                <c:pt idx="34">
                  <c:v>6.6</c:v>
                </c:pt>
                <c:pt idx="35">
                  <c:v>6.5</c:v>
                </c:pt>
                <c:pt idx="36">
                  <c:v>6.6</c:v>
                </c:pt>
                <c:pt idx="37">
                  <c:v>6.5</c:v>
                </c:pt>
                <c:pt idx="38">
                  <c:v>6.5</c:v>
                </c:pt>
                <c:pt idx="39">
                  <c:v>6.3</c:v>
                </c:pt>
                <c:pt idx="40">
                  <c:v>6.4</c:v>
                </c:pt>
                <c:pt idx="41">
                  <c:v>6.5</c:v>
                </c:pt>
                <c:pt idx="42">
                  <c:v>6.6</c:v>
                </c:pt>
                <c:pt idx="43">
                  <c:v>6.5</c:v>
                </c:pt>
                <c:pt idx="44">
                  <c:v>6.5</c:v>
                </c:pt>
                <c:pt idx="45">
                  <c:v>6.6</c:v>
                </c:pt>
                <c:pt idx="46">
                  <c:v>6.5</c:v>
                </c:pt>
                <c:pt idx="47">
                  <c:v>6.4</c:v>
                </c:pt>
                <c:pt idx="48">
                  <c:v>6.5</c:v>
                </c:pt>
                <c:pt idx="49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78-4A60-A7DD-731EE299A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921032"/>
        <c:axId val="424926936"/>
      </c:lineChart>
      <c:dateAx>
        <c:axId val="4249210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926936"/>
        <c:crosses val="autoZero"/>
        <c:auto val="1"/>
        <c:lblOffset val="100"/>
        <c:baseTimeUnit val="days"/>
      </c:dateAx>
      <c:valAx>
        <c:axId val="424926936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921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</xdr:colOff>
      <xdr:row>14</xdr:row>
      <xdr:rowOff>11905</xdr:rowOff>
    </xdr:from>
    <xdr:to>
      <xdr:col>16</xdr:col>
      <xdr:colOff>23813</xdr:colOff>
      <xdr:row>35</xdr:row>
      <xdr:rowOff>71437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E9ADD3A-1CE1-4C34-81ED-F1AE88468D6D}"/>
            </a:ext>
          </a:extLst>
        </xdr:cNvPr>
        <xdr:cNvGrpSpPr/>
      </xdr:nvGrpSpPr>
      <xdr:grpSpPr>
        <a:xfrm>
          <a:off x="1960562" y="2567780"/>
          <a:ext cx="7945439" cy="3893345"/>
          <a:chOff x="5787537" y="9525"/>
          <a:chExt cx="6384680" cy="274320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B2825092-9A82-44E8-9AB0-59A800B2723B}"/>
              </a:ext>
            </a:extLst>
          </xdr:cNvPr>
          <xdr:cNvGraphicFramePr>
            <a:graphicFrameLocks/>
          </xdr:cNvGraphicFramePr>
        </xdr:nvGraphicFramePr>
        <xdr:xfrm>
          <a:off x="5787537" y="9525"/>
          <a:ext cx="638468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DD196029-808F-4E47-9E60-7053C5C9D547}"/>
              </a:ext>
            </a:extLst>
          </xdr:cNvPr>
          <xdr:cNvSpPr txBox="1"/>
        </xdr:nvSpPr>
        <xdr:spPr>
          <a:xfrm>
            <a:off x="9050647" y="1792506"/>
            <a:ext cx="3032268" cy="3265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Air  temperature : Avg.=25.36 ±</a:t>
            </a:r>
            <a:r>
              <a:rPr lang="en-US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0.47 C˚   Max=27.0 C˚    Min=23.4  C˚  </a:t>
            </a:r>
            <a:endParaRPr lang="en-US" sz="1100" b="1">
              <a:effectLst/>
            </a:endParaRPr>
          </a:p>
          <a:p>
            <a:endParaRPr lang="en-US" sz="1100" b="1"/>
          </a:p>
        </xdr:txBody>
      </xdr:sp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246B7641-0F4C-4696-96BA-D175B73F96ED}"/>
              </a:ext>
            </a:extLst>
          </xdr:cNvPr>
          <xdr:cNvCxnSpPr/>
        </xdr:nvCxnSpPr>
        <xdr:spPr>
          <a:xfrm flipV="1">
            <a:off x="6061277" y="1217863"/>
            <a:ext cx="5987255" cy="0"/>
          </a:xfrm>
          <a:prstGeom prst="line">
            <a:avLst/>
          </a:prstGeom>
          <a:ln w="15875">
            <a:solidFill>
              <a:schemeClr val="tx1"/>
            </a:solidFill>
            <a:prstDash val="sys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678655</xdr:colOff>
      <xdr:row>14</xdr:row>
      <xdr:rowOff>0</xdr:rowOff>
    </xdr:from>
    <xdr:to>
      <xdr:col>16</xdr:col>
      <xdr:colOff>209410</xdr:colOff>
      <xdr:row>38</xdr:row>
      <xdr:rowOff>11906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A7644764-60D7-4529-A6A2-F8B36D1D7F19}"/>
            </a:ext>
          </a:extLst>
        </xdr:cNvPr>
        <xdr:cNvGrpSpPr/>
      </xdr:nvGrpSpPr>
      <xdr:grpSpPr>
        <a:xfrm>
          <a:off x="1934368" y="2555875"/>
          <a:ext cx="8157230" cy="4393406"/>
          <a:chOff x="5787537" y="2771775"/>
          <a:chExt cx="6524774" cy="2743200"/>
        </a:xfrm>
      </xdr:grpSpPr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F9B60072-BF80-45AA-B450-698E34BC1B8C}"/>
              </a:ext>
            </a:extLst>
          </xdr:cNvPr>
          <xdr:cNvGraphicFramePr/>
        </xdr:nvGraphicFramePr>
        <xdr:xfrm>
          <a:off x="5787537" y="2771775"/>
          <a:ext cx="638468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3BE23B3-CA5D-4B18-A851-1DCC5E388314}"/>
              </a:ext>
            </a:extLst>
          </xdr:cNvPr>
          <xdr:cNvSpPr txBox="1"/>
        </xdr:nvSpPr>
        <xdr:spPr>
          <a:xfrm>
            <a:off x="9195438" y="4708702"/>
            <a:ext cx="3116873" cy="2541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Relative humidity : Avg.=</a:t>
            </a:r>
            <a:r>
              <a:rPr lang="en-US" sz="1100" b="1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 72.72 </a:t>
            </a:r>
            <a:r>
              <a:rPr lang="en-US" sz="1100" b="1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± 2.99 %</a:t>
            </a:r>
            <a:r>
              <a:rPr lang="en-US" sz="1100" b="1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  Max= 78.6 %    Min= 67.9 %</a:t>
            </a:r>
            <a:endParaRPr lang="en-US" sz="1100" b="1">
              <a:solidFill>
                <a:sysClr val="windowText" lastClr="000000"/>
              </a:solidFill>
              <a:effectLst/>
            </a:endParaRPr>
          </a:p>
          <a:p>
            <a:endParaRPr lang="en-US" sz="1100" b="1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41BA9C03-E66C-45CF-A599-3CEF8A980CE5}"/>
              </a:ext>
            </a:extLst>
          </xdr:cNvPr>
          <xdr:cNvCxnSpPr/>
        </xdr:nvCxnSpPr>
        <xdr:spPr>
          <a:xfrm flipV="1">
            <a:off x="6130806" y="3947746"/>
            <a:ext cx="5845130" cy="0"/>
          </a:xfrm>
          <a:prstGeom prst="line">
            <a:avLst/>
          </a:prstGeom>
          <a:ln w="15875">
            <a:solidFill>
              <a:schemeClr val="tx1"/>
            </a:solidFill>
            <a:prstDash val="sys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23811</xdr:colOff>
      <xdr:row>14</xdr:row>
      <xdr:rowOff>142874</xdr:rowOff>
    </xdr:from>
    <xdr:to>
      <xdr:col>16</xdr:col>
      <xdr:colOff>83343</xdr:colOff>
      <xdr:row>37</xdr:row>
      <xdr:rowOff>65576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0FE32CE6-1052-457D-8670-D263A54F6572}"/>
            </a:ext>
          </a:extLst>
        </xdr:cNvPr>
        <xdr:cNvGrpSpPr/>
      </xdr:nvGrpSpPr>
      <xdr:grpSpPr>
        <a:xfrm>
          <a:off x="1960561" y="2698749"/>
          <a:ext cx="8004970" cy="4121640"/>
          <a:chOff x="5844687" y="5581650"/>
          <a:chExt cx="6492240" cy="2743200"/>
        </a:xfrm>
      </xdr:grpSpPr>
      <xdr:graphicFrame macro="">
        <xdr:nvGraphicFramePr>
          <xdr:cNvPr id="19" name="Chart 18">
            <a:extLst>
              <a:ext uri="{FF2B5EF4-FFF2-40B4-BE49-F238E27FC236}">
                <a16:creationId xmlns:a16="http://schemas.microsoft.com/office/drawing/2014/main" id="{D6202C92-1C5F-4169-A1B9-1E19C7DB7FA3}"/>
              </a:ext>
            </a:extLst>
          </xdr:cNvPr>
          <xdr:cNvGraphicFramePr>
            <a:graphicFrameLocks/>
          </xdr:cNvGraphicFramePr>
        </xdr:nvGraphicFramePr>
        <xdr:xfrm>
          <a:off x="5844687" y="5581650"/>
          <a:ext cx="649224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3AABEA96-B50A-4A09-89F9-367B47B63B00}"/>
              </a:ext>
            </a:extLst>
          </xdr:cNvPr>
          <xdr:cNvSpPr txBox="1"/>
        </xdr:nvSpPr>
        <xdr:spPr>
          <a:xfrm>
            <a:off x="9164825" y="7412239"/>
            <a:ext cx="3050198" cy="3265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CO₂ conc. : Avg.=1036.68 ± 31.46 ppm  </a:t>
            </a:r>
            <a:r>
              <a:rPr lang="en-US" sz="1100" b="1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Max=1093 ppm   Min=929 ppm</a:t>
            </a:r>
            <a:endParaRPr lang="en-US" sz="1100" b="1">
              <a:solidFill>
                <a:sysClr val="windowText" lastClr="000000"/>
              </a:solidFill>
              <a:effectLst/>
            </a:endParaRPr>
          </a:p>
          <a:p>
            <a:endParaRPr lang="en-US" sz="1100" b="1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D7C2E58A-DA61-4960-8F73-D3106A5CF5EF}"/>
              </a:ext>
            </a:extLst>
          </xdr:cNvPr>
          <xdr:cNvCxnSpPr/>
        </xdr:nvCxnSpPr>
        <xdr:spPr>
          <a:xfrm flipV="1">
            <a:off x="6223489" y="6567853"/>
            <a:ext cx="5943600" cy="0"/>
          </a:xfrm>
          <a:prstGeom prst="line">
            <a:avLst/>
          </a:prstGeom>
          <a:ln w="15875">
            <a:solidFill>
              <a:schemeClr val="tx1"/>
            </a:solidFill>
            <a:prstDash val="sys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6412</xdr:colOff>
      <xdr:row>13</xdr:row>
      <xdr:rowOff>169436</xdr:rowOff>
    </xdr:from>
    <xdr:to>
      <xdr:col>16</xdr:col>
      <xdr:colOff>49964</xdr:colOff>
      <xdr:row>34</xdr:row>
      <xdr:rowOff>154781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DC8771F7-8765-4E7F-9DF2-2DFA6709FEE6}"/>
            </a:ext>
          </a:extLst>
        </xdr:cNvPr>
        <xdr:cNvGrpSpPr/>
      </xdr:nvGrpSpPr>
      <xdr:grpSpPr>
        <a:xfrm>
          <a:off x="1943162" y="2542749"/>
          <a:ext cx="7988990" cy="3819157"/>
          <a:chOff x="12265269" y="43962"/>
          <a:chExt cx="6430249" cy="2743200"/>
        </a:xfrm>
      </xdr:grpSpPr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8D0C5041-690C-4A2B-9D01-91E8656F6453}"/>
              </a:ext>
            </a:extLst>
          </xdr:cNvPr>
          <xdr:cNvGraphicFramePr>
            <a:graphicFrameLocks/>
          </xdr:cNvGraphicFramePr>
        </xdr:nvGraphicFramePr>
        <xdr:xfrm>
          <a:off x="12265269" y="43962"/>
          <a:ext cx="6386146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EB7A7A7-873C-4089-99E2-B180568FA800}"/>
              </a:ext>
            </a:extLst>
          </xdr:cNvPr>
          <xdr:cNvSpPr txBox="1"/>
        </xdr:nvSpPr>
        <xdr:spPr>
          <a:xfrm>
            <a:off x="15721519" y="1824995"/>
            <a:ext cx="2973999" cy="3265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Wind speed : Avg.=0.41 ± 0.04m/s   </a:t>
            </a:r>
            <a:r>
              <a:rPr lang="en-US" sz="1100" b="1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Max=0.46 m/s  Min=0.3 m/s</a:t>
            </a:r>
            <a:endParaRPr lang="en-US" sz="1100" b="1">
              <a:solidFill>
                <a:sysClr val="windowText" lastClr="000000"/>
              </a:solidFill>
              <a:effectLst/>
            </a:endParaRPr>
          </a:p>
          <a:p>
            <a:endParaRPr lang="en-US" sz="1100" b="1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8E44A9F5-6086-4627-83BF-CE799733BFC8}"/>
              </a:ext>
            </a:extLst>
          </xdr:cNvPr>
          <xdr:cNvCxnSpPr/>
        </xdr:nvCxnSpPr>
        <xdr:spPr>
          <a:xfrm flipV="1">
            <a:off x="12637985" y="871904"/>
            <a:ext cx="5852160" cy="0"/>
          </a:xfrm>
          <a:prstGeom prst="line">
            <a:avLst/>
          </a:prstGeom>
          <a:ln w="15875">
            <a:solidFill>
              <a:schemeClr val="tx1"/>
            </a:solidFill>
            <a:prstDash val="sys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7144</xdr:colOff>
      <xdr:row>5</xdr:row>
      <xdr:rowOff>14288</xdr:rowOff>
    </xdr:from>
    <xdr:to>
      <xdr:col>16</xdr:col>
      <xdr:colOff>23813</xdr:colOff>
      <xdr:row>25</xdr:row>
      <xdr:rowOff>83343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6E73E50F-61EF-44AA-9785-CF03A0359142}"/>
            </a:ext>
          </a:extLst>
        </xdr:cNvPr>
        <xdr:cNvGrpSpPr/>
      </xdr:nvGrpSpPr>
      <xdr:grpSpPr>
        <a:xfrm>
          <a:off x="2555082" y="927101"/>
          <a:ext cx="7350919" cy="3720305"/>
          <a:chOff x="12229367" y="2752725"/>
          <a:chExt cx="6492240" cy="2743200"/>
        </a:xfrm>
      </xdr:grpSpPr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7E6787B6-8475-447A-A6F8-5501424E0C5D}"/>
              </a:ext>
            </a:extLst>
          </xdr:cNvPr>
          <xdr:cNvGraphicFramePr>
            <a:graphicFrameLocks/>
          </xdr:cNvGraphicFramePr>
        </xdr:nvGraphicFramePr>
        <xdr:xfrm>
          <a:off x="12229367" y="2752725"/>
          <a:ext cx="649224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6" name="TextBox 2">
            <a:extLst>
              <a:ext uri="{FF2B5EF4-FFF2-40B4-BE49-F238E27FC236}">
                <a16:creationId xmlns:a16="http://schemas.microsoft.com/office/drawing/2014/main" id="{3355542D-406B-4ABC-A41F-10E6404746E6}"/>
              </a:ext>
            </a:extLst>
          </xdr:cNvPr>
          <xdr:cNvSpPr txBox="1"/>
        </xdr:nvSpPr>
        <xdr:spPr>
          <a:xfrm>
            <a:off x="15509931" y="4499272"/>
            <a:ext cx="3183021" cy="4391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1100" b="1">
                <a:solidFill>
                  <a:sysClr val="windowText" lastClr="000000"/>
                </a:solidFill>
                <a:latin typeface="+mn-lt"/>
              </a:rPr>
              <a:t>EC : Avg. = 2.05 </a:t>
            </a:r>
            <a:r>
              <a:rPr lang="en-US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± 0.33</a:t>
            </a:r>
            <a:r>
              <a:rPr lang="en-US" sz="1100" b="1">
                <a:solidFill>
                  <a:sysClr val="windowText" lastClr="000000"/>
                </a:solidFill>
                <a:latin typeface="+mn-lt"/>
              </a:rPr>
              <a:t> mS/cm   Max=2.4  </a:t>
            </a:r>
            <a:r>
              <a:rPr lang="en-US" sz="1100" b="1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mS/cm   </a:t>
            </a:r>
            <a:r>
              <a:rPr lang="en-US" sz="1100" b="1">
                <a:solidFill>
                  <a:sysClr val="windowText" lastClr="000000"/>
                </a:solidFill>
                <a:latin typeface="+mn-lt"/>
              </a:rPr>
              <a:t>Min=1.4 </a:t>
            </a:r>
            <a:r>
              <a:rPr lang="en-US" sz="1100" b="1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mS/cm   </a:t>
            </a:r>
            <a:endParaRPr lang="en-US" sz="1100" b="1"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A2D598EE-9412-4FA6-842C-1967B15D427F}"/>
              </a:ext>
            </a:extLst>
          </xdr:cNvPr>
          <xdr:cNvCxnSpPr/>
        </xdr:nvCxnSpPr>
        <xdr:spPr>
          <a:xfrm flipV="1">
            <a:off x="12533435" y="3814395"/>
            <a:ext cx="5943600" cy="0"/>
          </a:xfrm>
          <a:prstGeom prst="line">
            <a:avLst/>
          </a:prstGeom>
          <a:ln w="15875">
            <a:solidFill>
              <a:schemeClr val="tx1"/>
            </a:solidFill>
            <a:prstDash val="sys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10074</xdr:colOff>
      <xdr:row>26</xdr:row>
      <xdr:rowOff>174931</xdr:rowOff>
    </xdr:from>
    <xdr:to>
      <xdr:col>16</xdr:col>
      <xdr:colOff>263731</xdr:colOff>
      <xdr:row>46</xdr:row>
      <xdr:rowOff>71437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AAE024C5-69DC-4AA4-B334-496145AA0081}"/>
            </a:ext>
          </a:extLst>
        </xdr:cNvPr>
        <xdr:cNvGrpSpPr/>
      </xdr:nvGrpSpPr>
      <xdr:grpSpPr>
        <a:xfrm>
          <a:off x="2558012" y="4921556"/>
          <a:ext cx="7587907" cy="3547756"/>
          <a:chOff x="12162692" y="5524500"/>
          <a:chExt cx="6585810" cy="2743200"/>
        </a:xfrm>
      </xdr:grpSpPr>
      <xdr:graphicFrame macro="">
        <xdr:nvGraphicFramePr>
          <xdr:cNvPr id="23" name="Chart 22">
            <a:extLst>
              <a:ext uri="{FF2B5EF4-FFF2-40B4-BE49-F238E27FC236}">
                <a16:creationId xmlns:a16="http://schemas.microsoft.com/office/drawing/2014/main" id="{D39762BB-99A0-4DF0-ABB6-45224504E23B}"/>
              </a:ext>
            </a:extLst>
          </xdr:cNvPr>
          <xdr:cNvGraphicFramePr>
            <a:graphicFrameLocks/>
          </xdr:cNvGraphicFramePr>
        </xdr:nvGraphicFramePr>
        <xdr:xfrm>
          <a:off x="12162692" y="5524500"/>
          <a:ext cx="64008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4" name="TextBox 2">
            <a:extLst>
              <a:ext uri="{FF2B5EF4-FFF2-40B4-BE49-F238E27FC236}">
                <a16:creationId xmlns:a16="http://schemas.microsoft.com/office/drawing/2014/main" id="{67B8D521-8EA5-4F75-A810-AFEBE3F836F0}"/>
              </a:ext>
            </a:extLst>
          </xdr:cNvPr>
          <xdr:cNvSpPr txBox="1"/>
        </xdr:nvSpPr>
        <xdr:spPr>
          <a:xfrm>
            <a:off x="16424244" y="7243265"/>
            <a:ext cx="2324258" cy="4589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1100" b="1">
                <a:solidFill>
                  <a:sysClr val="windowText" lastClr="000000"/>
                </a:solidFill>
                <a:latin typeface="+mn-lt"/>
              </a:rPr>
              <a:t>pH : Avg. = 6.49</a:t>
            </a:r>
            <a:r>
              <a:rPr lang="en-US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± 0.07</a:t>
            </a:r>
            <a:r>
              <a:rPr lang="en-US" sz="1100" b="1">
                <a:solidFill>
                  <a:sysClr val="windowText" lastClr="000000"/>
                </a:solidFill>
                <a:latin typeface="+mn-lt"/>
              </a:rPr>
              <a:t>   Max=6.6    Min=6.3</a:t>
            </a:r>
          </a:p>
        </xdr:txBody>
      </xdr: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640CED1A-3280-4241-A6E7-B4E2C6B4E523}"/>
              </a:ext>
            </a:extLst>
          </xdr:cNvPr>
          <xdr:cNvCxnSpPr/>
        </xdr:nvCxnSpPr>
        <xdr:spPr>
          <a:xfrm flipV="1">
            <a:off x="12463096" y="6777404"/>
            <a:ext cx="5943600" cy="0"/>
          </a:xfrm>
          <a:prstGeom prst="line">
            <a:avLst/>
          </a:prstGeom>
          <a:ln w="15875">
            <a:solidFill>
              <a:schemeClr val="tx1"/>
            </a:solidFill>
            <a:prstDash val="sys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6887-059D-483D-8DAC-8C0D7E7DF334}">
  <dimension ref="A1:B57"/>
  <sheetViews>
    <sheetView tabSelected="1" zoomScale="80" zoomScaleNormal="80" workbookViewId="0">
      <selection activeCell="F40" sqref="F40"/>
    </sheetView>
  </sheetViews>
  <sheetFormatPr defaultRowHeight="14.5" x14ac:dyDescent="0.35"/>
  <cols>
    <col min="1" max="1" width="10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B2" t="s">
        <v>7</v>
      </c>
    </row>
    <row r="3" spans="1:2" x14ac:dyDescent="0.35">
      <c r="A3" s="1">
        <v>44382</v>
      </c>
      <c r="B3" s="2">
        <v>25.2</v>
      </c>
    </row>
    <row r="4" spans="1:2" x14ac:dyDescent="0.35">
      <c r="A4" s="1">
        <v>44383</v>
      </c>
      <c r="B4" s="2">
        <v>24.9</v>
      </c>
    </row>
    <row r="5" spans="1:2" x14ac:dyDescent="0.35">
      <c r="A5" s="1">
        <v>44384</v>
      </c>
      <c r="B5" s="2">
        <v>25.3</v>
      </c>
    </row>
    <row r="6" spans="1:2" x14ac:dyDescent="0.35">
      <c r="A6" s="1">
        <v>44385</v>
      </c>
      <c r="B6" s="2">
        <v>24.3</v>
      </c>
    </row>
    <row r="7" spans="1:2" x14ac:dyDescent="0.35">
      <c r="A7" s="1">
        <v>44386</v>
      </c>
      <c r="B7" s="2">
        <v>24.6</v>
      </c>
    </row>
    <row r="8" spans="1:2" x14ac:dyDescent="0.35">
      <c r="A8" s="1">
        <v>44387</v>
      </c>
      <c r="B8" s="2">
        <v>25.7</v>
      </c>
    </row>
    <row r="9" spans="1:2" x14ac:dyDescent="0.35">
      <c r="A9" s="1">
        <v>44388</v>
      </c>
      <c r="B9" s="2">
        <v>25.6</v>
      </c>
    </row>
    <row r="10" spans="1:2" x14ac:dyDescent="0.35">
      <c r="A10" s="1">
        <v>44389</v>
      </c>
      <c r="B10" s="2">
        <v>25.5</v>
      </c>
    </row>
    <row r="11" spans="1:2" x14ac:dyDescent="0.35">
      <c r="A11" s="1">
        <v>44390</v>
      </c>
      <c r="B11" s="2">
        <v>25.5</v>
      </c>
    </row>
    <row r="12" spans="1:2" x14ac:dyDescent="0.35">
      <c r="A12" s="1">
        <v>44391</v>
      </c>
      <c r="B12" s="2">
        <v>23.4</v>
      </c>
    </row>
    <row r="13" spans="1:2" x14ac:dyDescent="0.35">
      <c r="A13" s="1">
        <v>44392</v>
      </c>
      <c r="B13" s="2">
        <v>25.6</v>
      </c>
    </row>
    <row r="14" spans="1:2" x14ac:dyDescent="0.35">
      <c r="A14" s="1">
        <v>44393</v>
      </c>
      <c r="B14" s="2">
        <v>25.7</v>
      </c>
    </row>
    <row r="15" spans="1:2" x14ac:dyDescent="0.35">
      <c r="A15" s="1">
        <v>44394</v>
      </c>
      <c r="B15" s="2">
        <v>25.6</v>
      </c>
    </row>
    <row r="16" spans="1:2" x14ac:dyDescent="0.35">
      <c r="A16" s="1">
        <v>44395</v>
      </c>
      <c r="B16" s="2">
        <v>25.5</v>
      </c>
    </row>
    <row r="17" spans="1:2" x14ac:dyDescent="0.35">
      <c r="A17" s="1">
        <v>44396</v>
      </c>
      <c r="B17" s="2">
        <v>25.6</v>
      </c>
    </row>
    <row r="18" spans="1:2" x14ac:dyDescent="0.35">
      <c r="A18" s="1">
        <v>44397</v>
      </c>
      <c r="B18" s="2">
        <v>25.5</v>
      </c>
    </row>
    <row r="19" spans="1:2" x14ac:dyDescent="0.35">
      <c r="A19" s="1">
        <v>44398</v>
      </c>
      <c r="B19" s="2">
        <v>25.4</v>
      </c>
    </row>
    <row r="20" spans="1:2" x14ac:dyDescent="0.35">
      <c r="A20" s="1">
        <v>44399</v>
      </c>
      <c r="B20" s="2">
        <v>25</v>
      </c>
    </row>
    <row r="21" spans="1:2" x14ac:dyDescent="0.35">
      <c r="A21" s="1">
        <v>44400</v>
      </c>
      <c r="B21" s="2">
        <v>25.8</v>
      </c>
    </row>
    <row r="22" spans="1:2" x14ac:dyDescent="0.35">
      <c r="A22" s="1">
        <v>44401</v>
      </c>
      <c r="B22" s="2">
        <v>25.7</v>
      </c>
    </row>
    <row r="23" spans="1:2" x14ac:dyDescent="0.35">
      <c r="A23" s="1">
        <v>44402</v>
      </c>
      <c r="B23" s="2">
        <v>25.8</v>
      </c>
    </row>
    <row r="24" spans="1:2" x14ac:dyDescent="0.35">
      <c r="A24" s="1">
        <v>44403</v>
      </c>
      <c r="B24" s="2">
        <v>25.5</v>
      </c>
    </row>
    <row r="25" spans="1:2" x14ac:dyDescent="0.35">
      <c r="A25" s="1">
        <v>44404</v>
      </c>
      <c r="B25" s="2">
        <v>25.5</v>
      </c>
    </row>
    <row r="26" spans="1:2" x14ac:dyDescent="0.35">
      <c r="A26" s="1">
        <v>44405</v>
      </c>
      <c r="B26" s="2">
        <v>25.6</v>
      </c>
    </row>
    <row r="27" spans="1:2" x14ac:dyDescent="0.35">
      <c r="A27" s="1">
        <v>44406</v>
      </c>
      <c r="B27" s="2">
        <v>25.6</v>
      </c>
    </row>
    <row r="28" spans="1:2" x14ac:dyDescent="0.35">
      <c r="A28" s="1">
        <v>44407</v>
      </c>
      <c r="B28" s="2">
        <v>25.6</v>
      </c>
    </row>
    <row r="29" spans="1:2" x14ac:dyDescent="0.35">
      <c r="A29" s="1">
        <v>44408</v>
      </c>
      <c r="B29" s="2">
        <v>25.5</v>
      </c>
    </row>
    <row r="30" spans="1:2" x14ac:dyDescent="0.35">
      <c r="A30" s="1">
        <v>44409</v>
      </c>
      <c r="B30" s="2">
        <v>25.5</v>
      </c>
    </row>
    <row r="31" spans="1:2" x14ac:dyDescent="0.35">
      <c r="A31" s="1">
        <v>44410</v>
      </c>
      <c r="B31" s="2">
        <v>25.5</v>
      </c>
    </row>
    <row r="32" spans="1:2" x14ac:dyDescent="0.35">
      <c r="A32" s="1">
        <v>44411</v>
      </c>
      <c r="B32" s="2">
        <v>25.6</v>
      </c>
    </row>
    <row r="33" spans="1:2" x14ac:dyDescent="0.35">
      <c r="A33" s="1">
        <v>44412</v>
      </c>
      <c r="B33" s="2">
        <v>25.5</v>
      </c>
    </row>
    <row r="34" spans="1:2" x14ac:dyDescent="0.35">
      <c r="A34" s="1">
        <v>44413</v>
      </c>
      <c r="B34" s="2">
        <v>25.4</v>
      </c>
    </row>
    <row r="35" spans="1:2" x14ac:dyDescent="0.35">
      <c r="A35" s="1">
        <v>44414</v>
      </c>
      <c r="B35" s="2">
        <v>25.3</v>
      </c>
    </row>
    <row r="36" spans="1:2" x14ac:dyDescent="0.35">
      <c r="A36" s="1">
        <v>44415</v>
      </c>
      <c r="B36" s="2">
        <v>25.3</v>
      </c>
    </row>
    <row r="37" spans="1:2" x14ac:dyDescent="0.35">
      <c r="A37" s="1">
        <v>44416</v>
      </c>
      <c r="B37" s="2">
        <v>25.2</v>
      </c>
    </row>
    <row r="38" spans="1:2" x14ac:dyDescent="0.35">
      <c r="A38" s="1">
        <v>44417</v>
      </c>
      <c r="B38" s="2">
        <v>25.2</v>
      </c>
    </row>
    <row r="39" spans="1:2" x14ac:dyDescent="0.35">
      <c r="A39" s="1">
        <v>44418</v>
      </c>
      <c r="B39" s="2">
        <v>25.3</v>
      </c>
    </row>
    <row r="40" spans="1:2" x14ac:dyDescent="0.35">
      <c r="A40" s="1">
        <v>44419</v>
      </c>
      <c r="B40" s="2">
        <v>25.4</v>
      </c>
    </row>
    <row r="41" spans="1:2" x14ac:dyDescent="0.35">
      <c r="A41" s="1">
        <v>44420</v>
      </c>
      <c r="B41" s="2">
        <v>25.4</v>
      </c>
    </row>
    <row r="42" spans="1:2" x14ac:dyDescent="0.35">
      <c r="A42" s="1">
        <v>44421</v>
      </c>
      <c r="B42" s="2">
        <v>25.1</v>
      </c>
    </row>
    <row r="43" spans="1:2" x14ac:dyDescent="0.35">
      <c r="A43" s="1">
        <v>44422</v>
      </c>
      <c r="B43" s="2">
        <v>25.4</v>
      </c>
    </row>
    <row r="44" spans="1:2" x14ac:dyDescent="0.35">
      <c r="A44" s="1">
        <v>44423</v>
      </c>
      <c r="B44" s="2">
        <v>25.3</v>
      </c>
    </row>
    <row r="45" spans="1:2" x14ac:dyDescent="0.35">
      <c r="A45" s="1">
        <v>44424</v>
      </c>
      <c r="B45" s="2">
        <v>25.4</v>
      </c>
    </row>
    <row r="46" spans="1:2" x14ac:dyDescent="0.35">
      <c r="A46" s="1">
        <v>44425</v>
      </c>
      <c r="B46" s="2">
        <v>25.2</v>
      </c>
    </row>
    <row r="47" spans="1:2" x14ac:dyDescent="0.35">
      <c r="A47" s="1">
        <v>44426</v>
      </c>
      <c r="B47" s="2">
        <v>24.4</v>
      </c>
    </row>
    <row r="48" spans="1:2" x14ac:dyDescent="0.35">
      <c r="A48" s="1">
        <v>44427</v>
      </c>
      <c r="B48" s="2">
        <v>27</v>
      </c>
    </row>
    <row r="49" spans="1:2" x14ac:dyDescent="0.35">
      <c r="A49" s="1">
        <v>44428</v>
      </c>
      <c r="B49" s="2">
        <v>25.5</v>
      </c>
    </row>
    <row r="50" spans="1:2" x14ac:dyDescent="0.35">
      <c r="A50" s="1">
        <v>44429</v>
      </c>
      <c r="B50" s="2">
        <v>25.4</v>
      </c>
    </row>
    <row r="51" spans="1:2" x14ac:dyDescent="0.35">
      <c r="A51" s="1">
        <v>44430</v>
      </c>
      <c r="B51" s="2">
        <v>25.3</v>
      </c>
    </row>
    <row r="52" spans="1:2" ht="15" thickBot="1" x14ac:dyDescent="0.4">
      <c r="A52" s="1">
        <v>44431</v>
      </c>
      <c r="B52" s="2">
        <v>25.1</v>
      </c>
    </row>
    <row r="53" spans="1:2" ht="15.5" thickTop="1" thickBot="1" x14ac:dyDescent="0.4">
      <c r="A53" s="3" t="s">
        <v>12</v>
      </c>
      <c r="B53" s="3">
        <f>AVERAGE(B3:B52)</f>
        <v>25.364000000000001</v>
      </c>
    </row>
    <row r="54" spans="1:2" ht="15.5" thickTop="1" thickBot="1" x14ac:dyDescent="0.4">
      <c r="A54" s="3" t="s">
        <v>13</v>
      </c>
      <c r="B54" s="3">
        <f>MAX(B3:B52)</f>
        <v>27</v>
      </c>
    </row>
    <row r="55" spans="1:2" ht="15.5" thickTop="1" thickBot="1" x14ac:dyDescent="0.4">
      <c r="A55" s="3" t="s">
        <v>14</v>
      </c>
      <c r="B55" s="3">
        <f>MIN(B3:B52)</f>
        <v>23.4</v>
      </c>
    </row>
    <row r="56" spans="1:2" ht="15.5" thickTop="1" thickBot="1" x14ac:dyDescent="0.4">
      <c r="A56" s="3" t="s">
        <v>15</v>
      </c>
      <c r="B56" s="3">
        <f>_xlfn.STDEV.P(B3:B52)</f>
        <v>0.47276209661943092</v>
      </c>
    </row>
    <row r="57" spans="1:2" ht="15" thickTop="1" x14ac:dyDescent="0.35"/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8BAA9-FEBF-43AD-8812-C27A3CE64B5A}">
  <dimension ref="A1:B57"/>
  <sheetViews>
    <sheetView topLeftCell="A11" zoomScale="80" zoomScaleNormal="80" workbookViewId="0">
      <selection activeCell="B53" sqref="B53:B56"/>
    </sheetView>
  </sheetViews>
  <sheetFormatPr defaultRowHeight="14.5" x14ac:dyDescent="0.35"/>
  <cols>
    <col min="1" max="1" width="10.2695312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B2" t="s">
        <v>8</v>
      </c>
    </row>
    <row r="3" spans="1:2" x14ac:dyDescent="0.35">
      <c r="A3" s="1">
        <v>44382</v>
      </c>
      <c r="B3" s="2">
        <v>67.900000000000006</v>
      </c>
    </row>
    <row r="4" spans="1:2" x14ac:dyDescent="0.35">
      <c r="A4" s="1">
        <v>44383</v>
      </c>
      <c r="B4" s="2">
        <v>72</v>
      </c>
    </row>
    <row r="5" spans="1:2" x14ac:dyDescent="0.35">
      <c r="A5" s="1">
        <v>44384</v>
      </c>
      <c r="B5" s="2">
        <v>75.7</v>
      </c>
    </row>
    <row r="6" spans="1:2" x14ac:dyDescent="0.35">
      <c r="A6" s="1">
        <v>44385</v>
      </c>
      <c r="B6" s="2">
        <v>74.8</v>
      </c>
    </row>
    <row r="7" spans="1:2" x14ac:dyDescent="0.35">
      <c r="A7" s="1">
        <v>44386</v>
      </c>
      <c r="B7" s="2">
        <v>75.099999999999994</v>
      </c>
    </row>
    <row r="8" spans="1:2" x14ac:dyDescent="0.35">
      <c r="A8" s="1">
        <v>44387</v>
      </c>
      <c r="B8" s="2">
        <v>76.599999999999994</v>
      </c>
    </row>
    <row r="9" spans="1:2" x14ac:dyDescent="0.35">
      <c r="A9" s="1">
        <v>44388</v>
      </c>
      <c r="B9" s="2">
        <v>76.5</v>
      </c>
    </row>
    <row r="10" spans="1:2" x14ac:dyDescent="0.35">
      <c r="A10" s="1">
        <v>44389</v>
      </c>
      <c r="B10" s="2">
        <v>75.7</v>
      </c>
    </row>
    <row r="11" spans="1:2" x14ac:dyDescent="0.35">
      <c r="A11" s="1">
        <v>44390</v>
      </c>
      <c r="B11" s="2">
        <v>75.599999999999994</v>
      </c>
    </row>
    <row r="12" spans="1:2" x14ac:dyDescent="0.35">
      <c r="A12" s="1">
        <v>44391</v>
      </c>
      <c r="B12" s="2">
        <v>73</v>
      </c>
    </row>
    <row r="13" spans="1:2" x14ac:dyDescent="0.35">
      <c r="A13" s="1">
        <v>44392</v>
      </c>
      <c r="B13" s="2">
        <v>70.900000000000006</v>
      </c>
    </row>
    <row r="14" spans="1:2" x14ac:dyDescent="0.35">
      <c r="A14" s="1">
        <v>44393</v>
      </c>
      <c r="B14" s="2">
        <v>70.3</v>
      </c>
    </row>
    <row r="15" spans="1:2" x14ac:dyDescent="0.35">
      <c r="A15" s="1">
        <v>44394</v>
      </c>
      <c r="B15" s="2">
        <v>68.7</v>
      </c>
    </row>
    <row r="16" spans="1:2" x14ac:dyDescent="0.35">
      <c r="A16" s="1">
        <v>44395</v>
      </c>
      <c r="B16" s="2">
        <v>69</v>
      </c>
    </row>
    <row r="17" spans="1:2" x14ac:dyDescent="0.35">
      <c r="A17" s="1">
        <v>44396</v>
      </c>
      <c r="B17" s="2">
        <v>69.099999999999994</v>
      </c>
    </row>
    <row r="18" spans="1:2" x14ac:dyDescent="0.35">
      <c r="A18" s="1">
        <v>44397</v>
      </c>
      <c r="B18" s="2">
        <v>68.7</v>
      </c>
    </row>
    <row r="19" spans="1:2" x14ac:dyDescent="0.35">
      <c r="A19" s="1">
        <v>44398</v>
      </c>
      <c r="B19" s="2">
        <v>68.8</v>
      </c>
    </row>
    <row r="20" spans="1:2" x14ac:dyDescent="0.35">
      <c r="A20" s="1">
        <v>44399</v>
      </c>
      <c r="B20" s="2">
        <v>69.400000000000006</v>
      </c>
    </row>
    <row r="21" spans="1:2" x14ac:dyDescent="0.35">
      <c r="A21" s="1">
        <v>44400</v>
      </c>
      <c r="B21" s="2">
        <v>69.2</v>
      </c>
    </row>
    <row r="22" spans="1:2" x14ac:dyDescent="0.35">
      <c r="A22" s="1">
        <v>44401</v>
      </c>
      <c r="B22" s="2">
        <v>70.5</v>
      </c>
    </row>
    <row r="23" spans="1:2" x14ac:dyDescent="0.35">
      <c r="A23" s="1">
        <v>44402</v>
      </c>
      <c r="B23" s="2">
        <v>72</v>
      </c>
    </row>
    <row r="24" spans="1:2" x14ac:dyDescent="0.35">
      <c r="A24" s="1">
        <v>44403</v>
      </c>
      <c r="B24" s="2">
        <v>69.5</v>
      </c>
    </row>
    <row r="25" spans="1:2" x14ac:dyDescent="0.35">
      <c r="A25" s="1">
        <v>44404</v>
      </c>
      <c r="B25" s="2">
        <v>70</v>
      </c>
    </row>
    <row r="26" spans="1:2" x14ac:dyDescent="0.35">
      <c r="A26" s="1">
        <v>44405</v>
      </c>
      <c r="B26" s="2">
        <v>70</v>
      </c>
    </row>
    <row r="27" spans="1:2" x14ac:dyDescent="0.35">
      <c r="A27" s="1">
        <v>44406</v>
      </c>
      <c r="B27" s="2">
        <v>70.2</v>
      </c>
    </row>
    <row r="28" spans="1:2" x14ac:dyDescent="0.35">
      <c r="A28" s="1">
        <v>44407</v>
      </c>
      <c r="B28" s="2">
        <v>69.3</v>
      </c>
    </row>
    <row r="29" spans="1:2" x14ac:dyDescent="0.35">
      <c r="A29" s="1">
        <v>44408</v>
      </c>
      <c r="B29" s="2">
        <v>69.400000000000006</v>
      </c>
    </row>
    <row r="30" spans="1:2" x14ac:dyDescent="0.35">
      <c r="A30" s="1">
        <v>44409</v>
      </c>
      <c r="B30" s="2">
        <v>71.400000000000006</v>
      </c>
    </row>
    <row r="31" spans="1:2" x14ac:dyDescent="0.35">
      <c r="A31" s="1">
        <v>44410</v>
      </c>
      <c r="B31" s="2">
        <v>70.5</v>
      </c>
    </row>
    <row r="32" spans="1:2" x14ac:dyDescent="0.35">
      <c r="A32" s="1">
        <v>44411</v>
      </c>
      <c r="B32" s="2">
        <v>71.2</v>
      </c>
    </row>
    <row r="33" spans="1:2" x14ac:dyDescent="0.35">
      <c r="A33" s="1">
        <v>44412</v>
      </c>
      <c r="B33" s="2">
        <v>71.2</v>
      </c>
    </row>
    <row r="34" spans="1:2" x14ac:dyDescent="0.35">
      <c r="A34" s="1">
        <v>44413</v>
      </c>
      <c r="B34" s="2">
        <v>72.3</v>
      </c>
    </row>
    <row r="35" spans="1:2" x14ac:dyDescent="0.35">
      <c r="A35" s="1">
        <v>44414</v>
      </c>
      <c r="B35" s="2">
        <v>73.5</v>
      </c>
    </row>
    <row r="36" spans="1:2" x14ac:dyDescent="0.35">
      <c r="A36" s="1">
        <v>44415</v>
      </c>
      <c r="B36" s="2">
        <v>78.599999999999994</v>
      </c>
    </row>
    <row r="37" spans="1:2" x14ac:dyDescent="0.35">
      <c r="A37" s="1">
        <v>44416</v>
      </c>
      <c r="B37" s="2">
        <v>72.900000000000006</v>
      </c>
    </row>
    <row r="38" spans="1:2" x14ac:dyDescent="0.35">
      <c r="A38" s="1">
        <v>44417</v>
      </c>
      <c r="B38" s="2">
        <v>72.599999999999994</v>
      </c>
    </row>
    <row r="39" spans="1:2" x14ac:dyDescent="0.35">
      <c r="A39" s="1">
        <v>44418</v>
      </c>
      <c r="B39" s="2">
        <v>72</v>
      </c>
    </row>
    <row r="40" spans="1:2" x14ac:dyDescent="0.35">
      <c r="A40" s="1">
        <v>44419</v>
      </c>
      <c r="B40" s="2">
        <v>73.7</v>
      </c>
    </row>
    <row r="41" spans="1:2" x14ac:dyDescent="0.35">
      <c r="A41" s="1">
        <v>44420</v>
      </c>
      <c r="B41" s="2">
        <v>73.099999999999994</v>
      </c>
    </row>
    <row r="42" spans="1:2" x14ac:dyDescent="0.35">
      <c r="A42" s="1">
        <v>44421</v>
      </c>
      <c r="B42" s="2">
        <v>73.099999999999994</v>
      </c>
    </row>
    <row r="43" spans="1:2" x14ac:dyDescent="0.35">
      <c r="A43" s="1">
        <v>44422</v>
      </c>
      <c r="B43" s="2">
        <v>73.599999999999994</v>
      </c>
    </row>
    <row r="44" spans="1:2" x14ac:dyDescent="0.35">
      <c r="A44" s="1">
        <v>44423</v>
      </c>
      <c r="B44" s="2">
        <v>73.8</v>
      </c>
    </row>
    <row r="45" spans="1:2" x14ac:dyDescent="0.35">
      <c r="A45" s="1">
        <v>44424</v>
      </c>
      <c r="B45" s="2">
        <v>74.900000000000006</v>
      </c>
    </row>
    <row r="46" spans="1:2" x14ac:dyDescent="0.35">
      <c r="A46" s="1">
        <v>44425</v>
      </c>
      <c r="B46" s="2">
        <v>76.3</v>
      </c>
    </row>
    <row r="47" spans="1:2" x14ac:dyDescent="0.35">
      <c r="A47" s="1">
        <v>44426</v>
      </c>
      <c r="B47" s="2">
        <v>76.400000000000006</v>
      </c>
    </row>
    <row r="48" spans="1:2" x14ac:dyDescent="0.35">
      <c r="A48" s="1">
        <v>44427</v>
      </c>
      <c r="B48" s="2">
        <v>77.3</v>
      </c>
    </row>
    <row r="49" spans="1:2" x14ac:dyDescent="0.35">
      <c r="A49" s="1">
        <v>44428</v>
      </c>
      <c r="B49" s="2">
        <v>76.599999999999994</v>
      </c>
    </row>
    <row r="50" spans="1:2" x14ac:dyDescent="0.35">
      <c r="A50" s="1">
        <v>44429</v>
      </c>
      <c r="B50" s="2">
        <v>78</v>
      </c>
    </row>
    <row r="51" spans="1:2" x14ac:dyDescent="0.35">
      <c r="A51" s="1">
        <v>44430</v>
      </c>
      <c r="B51" s="2">
        <v>77.8</v>
      </c>
    </row>
    <row r="52" spans="1:2" ht="15" thickBot="1" x14ac:dyDescent="0.4">
      <c r="A52" s="1">
        <v>44431</v>
      </c>
      <c r="B52" s="2">
        <v>77.099999999999994</v>
      </c>
    </row>
    <row r="53" spans="1:2" ht="15.5" thickTop="1" thickBot="1" x14ac:dyDescent="0.4">
      <c r="A53" s="3" t="s">
        <v>12</v>
      </c>
      <c r="B53" s="3">
        <f>AVERAGE(B3:B52)</f>
        <v>72.716000000000008</v>
      </c>
    </row>
    <row r="54" spans="1:2" ht="15.5" thickTop="1" thickBot="1" x14ac:dyDescent="0.4">
      <c r="A54" s="3" t="s">
        <v>13</v>
      </c>
      <c r="B54" s="3">
        <f>MAX(B3:B52)</f>
        <v>78.599999999999994</v>
      </c>
    </row>
    <row r="55" spans="1:2" ht="15.5" thickTop="1" thickBot="1" x14ac:dyDescent="0.4">
      <c r="A55" s="3" t="s">
        <v>14</v>
      </c>
      <c r="B55" s="3">
        <f>MIN(B3:B52)</f>
        <v>67.900000000000006</v>
      </c>
    </row>
    <row r="56" spans="1:2" ht="15.5" thickTop="1" thickBot="1" x14ac:dyDescent="0.4">
      <c r="A56" s="3" t="s">
        <v>15</v>
      </c>
      <c r="B56" s="3">
        <f>_xlfn.STDEV.P(B3:B52)</f>
        <v>2.9884015794400844</v>
      </c>
    </row>
    <row r="57" spans="1:2" ht="15" thickTop="1" x14ac:dyDescent="0.35"/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B01CF-31ED-421C-B55C-E856F5A08AE5}">
  <dimension ref="A1:B57"/>
  <sheetViews>
    <sheetView topLeftCell="A11" zoomScale="80" zoomScaleNormal="80" workbookViewId="0">
      <selection activeCell="O46" sqref="O46"/>
    </sheetView>
  </sheetViews>
  <sheetFormatPr defaultRowHeight="14.5" x14ac:dyDescent="0.35"/>
  <cols>
    <col min="1" max="1" width="10.26953125" bestFit="1" customWidth="1"/>
  </cols>
  <sheetData>
    <row r="1" spans="1:2" x14ac:dyDescent="0.35">
      <c r="A1" t="s">
        <v>0</v>
      </c>
      <c r="B1" t="s">
        <v>3</v>
      </c>
    </row>
    <row r="2" spans="1:2" x14ac:dyDescent="0.35">
      <c r="B2" t="s">
        <v>9</v>
      </c>
    </row>
    <row r="3" spans="1:2" x14ac:dyDescent="0.35">
      <c r="A3" s="1">
        <v>44382</v>
      </c>
      <c r="B3">
        <v>972</v>
      </c>
    </row>
    <row r="4" spans="1:2" x14ac:dyDescent="0.35">
      <c r="A4" s="1">
        <v>44383</v>
      </c>
      <c r="B4">
        <v>929</v>
      </c>
    </row>
    <row r="5" spans="1:2" x14ac:dyDescent="0.35">
      <c r="A5" s="1">
        <v>44384</v>
      </c>
      <c r="B5">
        <v>942</v>
      </c>
    </row>
    <row r="6" spans="1:2" x14ac:dyDescent="0.35">
      <c r="A6" s="1">
        <v>44385</v>
      </c>
      <c r="B6">
        <v>1061</v>
      </c>
    </row>
    <row r="7" spans="1:2" x14ac:dyDescent="0.35">
      <c r="A7" s="1">
        <v>44386</v>
      </c>
      <c r="B7">
        <v>1063</v>
      </c>
    </row>
    <row r="8" spans="1:2" x14ac:dyDescent="0.35">
      <c r="A8" s="1">
        <v>44387</v>
      </c>
      <c r="B8">
        <v>1093</v>
      </c>
    </row>
    <row r="9" spans="1:2" x14ac:dyDescent="0.35">
      <c r="A9" s="1">
        <v>44388</v>
      </c>
      <c r="B9">
        <v>1088</v>
      </c>
    </row>
    <row r="10" spans="1:2" x14ac:dyDescent="0.35">
      <c r="A10" s="1">
        <v>44389</v>
      </c>
      <c r="B10">
        <v>1033</v>
      </c>
    </row>
    <row r="11" spans="1:2" x14ac:dyDescent="0.35">
      <c r="A11" s="1">
        <v>44390</v>
      </c>
      <c r="B11">
        <v>994</v>
      </c>
    </row>
    <row r="12" spans="1:2" x14ac:dyDescent="0.35">
      <c r="A12" s="1">
        <v>44391</v>
      </c>
      <c r="B12">
        <v>1066</v>
      </c>
    </row>
    <row r="13" spans="1:2" x14ac:dyDescent="0.35">
      <c r="A13" s="1">
        <v>44392</v>
      </c>
      <c r="B13">
        <v>1021</v>
      </c>
    </row>
    <row r="14" spans="1:2" x14ac:dyDescent="0.35">
      <c r="A14" s="1">
        <v>44393</v>
      </c>
      <c r="B14">
        <v>1019</v>
      </c>
    </row>
    <row r="15" spans="1:2" x14ac:dyDescent="0.35">
      <c r="A15" s="1">
        <v>44394</v>
      </c>
      <c r="B15">
        <v>1076</v>
      </c>
    </row>
    <row r="16" spans="1:2" x14ac:dyDescent="0.35">
      <c r="A16" s="1">
        <v>44395</v>
      </c>
      <c r="B16">
        <v>1074</v>
      </c>
    </row>
    <row r="17" spans="1:2" x14ac:dyDescent="0.35">
      <c r="A17" s="1">
        <v>44396</v>
      </c>
      <c r="B17">
        <v>1027</v>
      </c>
    </row>
    <row r="18" spans="1:2" x14ac:dyDescent="0.35">
      <c r="A18" s="1">
        <v>44397</v>
      </c>
      <c r="B18">
        <v>1029</v>
      </c>
    </row>
    <row r="19" spans="1:2" x14ac:dyDescent="0.35">
      <c r="A19" s="1">
        <v>44398</v>
      </c>
      <c r="B19">
        <v>1055</v>
      </c>
    </row>
    <row r="20" spans="1:2" x14ac:dyDescent="0.35">
      <c r="A20" s="1">
        <v>44399</v>
      </c>
      <c r="B20">
        <v>1064</v>
      </c>
    </row>
    <row r="21" spans="1:2" x14ac:dyDescent="0.35">
      <c r="A21" s="1">
        <v>44400</v>
      </c>
      <c r="B21">
        <v>1038</v>
      </c>
    </row>
    <row r="22" spans="1:2" x14ac:dyDescent="0.35">
      <c r="A22" s="1">
        <v>44401</v>
      </c>
      <c r="B22">
        <v>1074</v>
      </c>
    </row>
    <row r="23" spans="1:2" x14ac:dyDescent="0.35">
      <c r="A23" s="1">
        <v>44402</v>
      </c>
      <c r="B23">
        <v>990</v>
      </c>
    </row>
    <row r="24" spans="1:2" x14ac:dyDescent="0.35">
      <c r="A24" s="1">
        <v>44403</v>
      </c>
      <c r="B24">
        <v>984</v>
      </c>
    </row>
    <row r="25" spans="1:2" x14ac:dyDescent="0.35">
      <c r="A25" s="1">
        <v>44404</v>
      </c>
      <c r="B25">
        <v>1022</v>
      </c>
    </row>
    <row r="26" spans="1:2" x14ac:dyDescent="0.35">
      <c r="A26" s="1">
        <v>44405</v>
      </c>
      <c r="B26">
        <v>1042</v>
      </c>
    </row>
    <row r="27" spans="1:2" x14ac:dyDescent="0.35">
      <c r="A27" s="1">
        <v>44406</v>
      </c>
      <c r="B27">
        <v>1030</v>
      </c>
    </row>
    <row r="28" spans="1:2" x14ac:dyDescent="0.35">
      <c r="A28" s="1">
        <v>44407</v>
      </c>
      <c r="B28">
        <v>1036</v>
      </c>
    </row>
    <row r="29" spans="1:2" x14ac:dyDescent="0.35">
      <c r="A29" s="1">
        <v>44408</v>
      </c>
      <c r="B29">
        <v>1043</v>
      </c>
    </row>
    <row r="30" spans="1:2" x14ac:dyDescent="0.35">
      <c r="A30" s="1">
        <v>44409</v>
      </c>
      <c r="B30">
        <v>1028</v>
      </c>
    </row>
    <row r="31" spans="1:2" x14ac:dyDescent="0.35">
      <c r="A31" s="1">
        <v>44410</v>
      </c>
      <c r="B31">
        <v>1016</v>
      </c>
    </row>
    <row r="32" spans="1:2" x14ac:dyDescent="0.35">
      <c r="A32" s="1">
        <v>44411</v>
      </c>
      <c r="B32">
        <v>1024</v>
      </c>
    </row>
    <row r="33" spans="1:2" x14ac:dyDescent="0.35">
      <c r="A33" s="1">
        <v>44412</v>
      </c>
      <c r="B33">
        <v>1028</v>
      </c>
    </row>
    <row r="34" spans="1:2" x14ac:dyDescent="0.35">
      <c r="A34" s="1">
        <v>44413</v>
      </c>
      <c r="B34">
        <v>1032</v>
      </c>
    </row>
    <row r="35" spans="1:2" x14ac:dyDescent="0.35">
      <c r="A35" s="1">
        <v>44414</v>
      </c>
      <c r="B35">
        <v>1053</v>
      </c>
    </row>
    <row r="36" spans="1:2" x14ac:dyDescent="0.35">
      <c r="A36" s="1">
        <v>44415</v>
      </c>
      <c r="B36">
        <v>1063</v>
      </c>
    </row>
    <row r="37" spans="1:2" x14ac:dyDescent="0.35">
      <c r="A37" s="1">
        <v>44416</v>
      </c>
      <c r="B37">
        <v>1043</v>
      </c>
    </row>
    <row r="38" spans="1:2" x14ac:dyDescent="0.35">
      <c r="A38" s="1">
        <v>44417</v>
      </c>
      <c r="B38">
        <v>1040</v>
      </c>
    </row>
    <row r="39" spans="1:2" x14ac:dyDescent="0.35">
      <c r="A39" s="1">
        <v>44418</v>
      </c>
      <c r="B39">
        <v>1037</v>
      </c>
    </row>
    <row r="40" spans="1:2" x14ac:dyDescent="0.35">
      <c r="A40" s="1">
        <v>44419</v>
      </c>
      <c r="B40">
        <v>1045</v>
      </c>
    </row>
    <row r="41" spans="1:2" x14ac:dyDescent="0.35">
      <c r="A41" s="1">
        <v>44420</v>
      </c>
      <c r="B41">
        <v>1043</v>
      </c>
    </row>
    <row r="42" spans="1:2" x14ac:dyDescent="0.35">
      <c r="A42" s="1">
        <v>44421</v>
      </c>
      <c r="B42">
        <v>1036</v>
      </c>
    </row>
    <row r="43" spans="1:2" x14ac:dyDescent="0.35">
      <c r="A43" s="1">
        <v>44422</v>
      </c>
      <c r="B43">
        <v>1048</v>
      </c>
    </row>
    <row r="44" spans="1:2" x14ac:dyDescent="0.35">
      <c r="A44" s="1">
        <v>44423</v>
      </c>
      <c r="B44">
        <v>1047</v>
      </c>
    </row>
    <row r="45" spans="1:2" x14ac:dyDescent="0.35">
      <c r="A45" s="1">
        <v>44424</v>
      </c>
      <c r="B45">
        <v>1050</v>
      </c>
    </row>
    <row r="46" spans="1:2" x14ac:dyDescent="0.35">
      <c r="A46" s="1">
        <v>44425</v>
      </c>
      <c r="B46">
        <v>1056</v>
      </c>
    </row>
    <row r="47" spans="1:2" x14ac:dyDescent="0.35">
      <c r="A47" s="1">
        <v>44426</v>
      </c>
      <c r="B47">
        <v>1058</v>
      </c>
    </row>
    <row r="48" spans="1:2" x14ac:dyDescent="0.35">
      <c r="A48" s="1">
        <v>44427</v>
      </c>
      <c r="B48">
        <v>1051</v>
      </c>
    </row>
    <row r="49" spans="1:2" x14ac:dyDescent="0.35">
      <c r="A49" s="1">
        <v>44428</v>
      </c>
      <c r="B49">
        <v>1051</v>
      </c>
    </row>
    <row r="50" spans="1:2" x14ac:dyDescent="0.35">
      <c r="A50" s="1">
        <v>44429</v>
      </c>
      <c r="B50">
        <v>1040</v>
      </c>
    </row>
    <row r="51" spans="1:2" x14ac:dyDescent="0.35">
      <c r="A51" s="1">
        <v>44430</v>
      </c>
      <c r="B51">
        <v>1040</v>
      </c>
    </row>
    <row r="52" spans="1:2" ht="15" thickBot="1" x14ac:dyDescent="0.4">
      <c r="A52" s="1">
        <v>44431</v>
      </c>
      <c r="B52">
        <v>1040</v>
      </c>
    </row>
    <row r="53" spans="1:2" ht="15.5" thickTop="1" thickBot="1" x14ac:dyDescent="0.4">
      <c r="A53" s="3" t="s">
        <v>12</v>
      </c>
      <c r="B53" s="3">
        <f>AVERAGE(B3:B52)</f>
        <v>1036.68</v>
      </c>
    </row>
    <row r="54" spans="1:2" ht="15.5" thickTop="1" thickBot="1" x14ac:dyDescent="0.4">
      <c r="A54" s="3" t="s">
        <v>13</v>
      </c>
      <c r="B54" s="3">
        <f>MAX(B3:B52)</f>
        <v>1093</v>
      </c>
    </row>
    <row r="55" spans="1:2" ht="15.5" thickTop="1" thickBot="1" x14ac:dyDescent="0.4">
      <c r="A55" s="3" t="s">
        <v>14</v>
      </c>
      <c r="B55" s="3">
        <f>MIN(B3:B52)</f>
        <v>929</v>
      </c>
    </row>
    <row r="56" spans="1:2" ht="15.5" thickTop="1" thickBot="1" x14ac:dyDescent="0.4">
      <c r="A56" s="3" t="s">
        <v>15</v>
      </c>
      <c r="B56" s="3">
        <f>_xlfn.STDEV.P(B3:B52)</f>
        <v>31.46454512622104</v>
      </c>
    </row>
    <row r="57" spans="1:2" ht="15" thickTop="1" x14ac:dyDescent="0.35"/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DEAA7-1231-4E26-9E8B-8220FFC17026}">
  <dimension ref="A1:B57"/>
  <sheetViews>
    <sheetView zoomScale="80" zoomScaleNormal="80" workbookViewId="0">
      <selection activeCell="P43" sqref="P43"/>
    </sheetView>
  </sheetViews>
  <sheetFormatPr defaultRowHeight="14.5" x14ac:dyDescent="0.35"/>
  <cols>
    <col min="1" max="1" width="10.26953125" bestFit="1" customWidth="1"/>
  </cols>
  <sheetData>
    <row r="1" spans="1:2" x14ac:dyDescent="0.35">
      <c r="A1" t="s">
        <v>0</v>
      </c>
      <c r="B1" t="s">
        <v>4</v>
      </c>
    </row>
    <row r="2" spans="1:2" x14ac:dyDescent="0.35">
      <c r="B2" t="s">
        <v>10</v>
      </c>
    </row>
    <row r="3" spans="1:2" x14ac:dyDescent="0.35">
      <c r="A3" s="1">
        <v>44382</v>
      </c>
      <c r="B3">
        <v>0.35</v>
      </c>
    </row>
    <row r="4" spans="1:2" x14ac:dyDescent="0.35">
      <c r="A4" s="1">
        <v>44383</v>
      </c>
      <c r="B4">
        <v>0.45</v>
      </c>
    </row>
    <row r="5" spans="1:2" x14ac:dyDescent="0.35">
      <c r="A5" s="1">
        <v>44384</v>
      </c>
      <c r="B5">
        <v>0.46</v>
      </c>
    </row>
    <row r="6" spans="1:2" x14ac:dyDescent="0.35">
      <c r="A6" s="1">
        <v>44385</v>
      </c>
      <c r="B6">
        <v>0.43</v>
      </c>
    </row>
    <row r="7" spans="1:2" x14ac:dyDescent="0.35">
      <c r="A7" s="1">
        <v>44386</v>
      </c>
      <c r="B7">
        <v>0.42</v>
      </c>
    </row>
    <row r="8" spans="1:2" x14ac:dyDescent="0.35">
      <c r="A8" s="1">
        <v>44387</v>
      </c>
      <c r="B8">
        <v>0.44</v>
      </c>
    </row>
    <row r="9" spans="1:2" x14ac:dyDescent="0.35">
      <c r="A9" s="1">
        <v>44388</v>
      </c>
      <c r="B9">
        <v>0.43</v>
      </c>
    </row>
    <row r="10" spans="1:2" x14ac:dyDescent="0.35">
      <c r="A10" s="1">
        <v>44389</v>
      </c>
      <c r="B10">
        <v>0.43</v>
      </c>
    </row>
    <row r="11" spans="1:2" x14ac:dyDescent="0.35">
      <c r="A11" s="1">
        <v>44390</v>
      </c>
      <c r="B11">
        <v>0.43</v>
      </c>
    </row>
    <row r="12" spans="1:2" x14ac:dyDescent="0.35">
      <c r="A12" s="1">
        <v>44391</v>
      </c>
      <c r="B12">
        <v>0.43</v>
      </c>
    </row>
    <row r="13" spans="1:2" x14ac:dyDescent="0.35">
      <c r="A13" s="1">
        <v>44392</v>
      </c>
      <c r="B13">
        <v>0.43</v>
      </c>
    </row>
    <row r="14" spans="1:2" x14ac:dyDescent="0.35">
      <c r="A14" s="1">
        <v>44393</v>
      </c>
      <c r="B14">
        <v>0.42</v>
      </c>
    </row>
    <row r="15" spans="1:2" x14ac:dyDescent="0.35">
      <c r="A15" s="1">
        <v>44394</v>
      </c>
      <c r="B15">
        <v>0.41</v>
      </c>
    </row>
    <row r="16" spans="1:2" x14ac:dyDescent="0.35">
      <c r="A16" s="1">
        <v>44395</v>
      </c>
      <c r="B16">
        <v>0.42</v>
      </c>
    </row>
    <row r="17" spans="1:2" x14ac:dyDescent="0.35">
      <c r="A17" s="1">
        <v>44396</v>
      </c>
      <c r="B17">
        <v>0.42</v>
      </c>
    </row>
    <row r="18" spans="1:2" x14ac:dyDescent="0.35">
      <c r="A18" s="1">
        <v>44397</v>
      </c>
      <c r="B18">
        <v>0.43</v>
      </c>
    </row>
    <row r="19" spans="1:2" x14ac:dyDescent="0.35">
      <c r="A19" s="1">
        <v>44398</v>
      </c>
      <c r="B19">
        <v>0.43</v>
      </c>
    </row>
    <row r="20" spans="1:2" x14ac:dyDescent="0.35">
      <c r="A20" s="1">
        <v>44399</v>
      </c>
      <c r="B20">
        <v>0.44</v>
      </c>
    </row>
    <row r="21" spans="1:2" x14ac:dyDescent="0.35">
      <c r="A21" s="1">
        <v>44400</v>
      </c>
      <c r="B21">
        <v>0.42</v>
      </c>
    </row>
    <row r="22" spans="1:2" x14ac:dyDescent="0.35">
      <c r="A22" s="1">
        <v>44401</v>
      </c>
      <c r="B22">
        <v>0.42</v>
      </c>
    </row>
    <row r="23" spans="1:2" x14ac:dyDescent="0.35">
      <c r="A23" s="1">
        <v>44402</v>
      </c>
      <c r="B23">
        <v>0.43</v>
      </c>
    </row>
    <row r="24" spans="1:2" x14ac:dyDescent="0.35">
      <c r="A24" s="1">
        <v>44403</v>
      </c>
      <c r="B24">
        <v>0.42</v>
      </c>
    </row>
    <row r="25" spans="1:2" x14ac:dyDescent="0.35">
      <c r="A25" s="1">
        <v>44404</v>
      </c>
      <c r="B25">
        <v>0.42</v>
      </c>
    </row>
    <row r="26" spans="1:2" x14ac:dyDescent="0.35">
      <c r="A26" s="1">
        <v>44405</v>
      </c>
      <c r="B26">
        <v>0.42</v>
      </c>
    </row>
    <row r="27" spans="1:2" x14ac:dyDescent="0.35">
      <c r="A27" s="1">
        <v>44406</v>
      </c>
      <c r="B27">
        <v>0.42</v>
      </c>
    </row>
    <row r="28" spans="1:2" x14ac:dyDescent="0.35">
      <c r="A28" s="1">
        <v>44407</v>
      </c>
      <c r="B28">
        <v>0.4</v>
      </c>
    </row>
    <row r="29" spans="1:2" x14ac:dyDescent="0.35">
      <c r="A29" s="1">
        <v>44408</v>
      </c>
      <c r="B29">
        <v>0.39</v>
      </c>
    </row>
    <row r="30" spans="1:2" x14ac:dyDescent="0.35">
      <c r="A30" s="1">
        <v>44409</v>
      </c>
      <c r="B30">
        <v>0.39</v>
      </c>
    </row>
    <row r="31" spans="1:2" x14ac:dyDescent="0.35">
      <c r="A31" s="1">
        <v>44410</v>
      </c>
      <c r="B31">
        <v>0.4</v>
      </c>
    </row>
    <row r="32" spans="1:2" x14ac:dyDescent="0.35">
      <c r="A32" s="1">
        <v>44411</v>
      </c>
      <c r="B32">
        <v>0.39</v>
      </c>
    </row>
    <row r="33" spans="1:2" x14ac:dyDescent="0.35">
      <c r="A33" s="1">
        <v>44412</v>
      </c>
      <c r="B33">
        <v>0.39</v>
      </c>
    </row>
    <row r="34" spans="1:2" x14ac:dyDescent="0.35">
      <c r="A34" s="1">
        <v>44413</v>
      </c>
      <c r="B34">
        <v>0.41</v>
      </c>
    </row>
    <row r="35" spans="1:2" x14ac:dyDescent="0.35">
      <c r="A35" s="1">
        <v>44414</v>
      </c>
      <c r="B35">
        <v>0.44</v>
      </c>
    </row>
    <row r="36" spans="1:2" x14ac:dyDescent="0.35">
      <c r="A36" s="1">
        <v>44415</v>
      </c>
      <c r="B36">
        <v>0.44</v>
      </c>
    </row>
    <row r="37" spans="1:2" x14ac:dyDescent="0.35">
      <c r="A37" s="1">
        <v>44416</v>
      </c>
      <c r="B37">
        <v>0.44</v>
      </c>
    </row>
    <row r="38" spans="1:2" x14ac:dyDescent="0.35">
      <c r="A38" s="1">
        <v>44417</v>
      </c>
      <c r="B38">
        <v>0.44</v>
      </c>
    </row>
    <row r="39" spans="1:2" x14ac:dyDescent="0.35">
      <c r="A39" s="1">
        <v>44418</v>
      </c>
      <c r="B39">
        <v>0.43</v>
      </c>
    </row>
    <row r="40" spans="1:2" x14ac:dyDescent="0.35">
      <c r="A40" s="1">
        <v>44419</v>
      </c>
      <c r="B40">
        <v>0.43</v>
      </c>
    </row>
    <row r="41" spans="1:2" x14ac:dyDescent="0.35">
      <c r="A41" s="1">
        <v>44420</v>
      </c>
      <c r="B41">
        <v>0.43</v>
      </c>
    </row>
    <row r="42" spans="1:2" x14ac:dyDescent="0.35">
      <c r="A42" s="1">
        <v>44421</v>
      </c>
      <c r="B42">
        <v>0.42</v>
      </c>
    </row>
    <row r="43" spans="1:2" x14ac:dyDescent="0.35">
      <c r="A43" s="1">
        <v>44422</v>
      </c>
      <c r="B43">
        <v>0.41</v>
      </c>
    </row>
    <row r="44" spans="1:2" x14ac:dyDescent="0.35">
      <c r="A44" s="1">
        <v>44423</v>
      </c>
      <c r="B44">
        <v>0.41</v>
      </c>
    </row>
    <row r="45" spans="1:2" x14ac:dyDescent="0.35">
      <c r="A45" s="1">
        <v>44424</v>
      </c>
      <c r="B45">
        <v>0.37</v>
      </c>
    </row>
    <row r="46" spans="1:2" x14ac:dyDescent="0.35">
      <c r="A46" s="1">
        <v>44425</v>
      </c>
      <c r="B46">
        <v>0.3</v>
      </c>
    </row>
    <row r="47" spans="1:2" x14ac:dyDescent="0.35">
      <c r="A47" s="1">
        <v>44426</v>
      </c>
      <c r="B47">
        <v>0.31</v>
      </c>
    </row>
    <row r="48" spans="1:2" x14ac:dyDescent="0.35">
      <c r="A48" s="1">
        <v>44427</v>
      </c>
      <c r="B48">
        <v>0.3</v>
      </c>
    </row>
    <row r="49" spans="1:2" x14ac:dyDescent="0.35">
      <c r="A49" s="1">
        <v>44428</v>
      </c>
      <c r="B49">
        <v>0.32</v>
      </c>
    </row>
    <row r="50" spans="1:2" x14ac:dyDescent="0.35">
      <c r="A50" s="1">
        <v>44429</v>
      </c>
      <c r="B50">
        <v>0.33</v>
      </c>
    </row>
    <row r="51" spans="1:2" x14ac:dyDescent="0.35">
      <c r="A51" s="1">
        <v>44430</v>
      </c>
      <c r="B51">
        <v>0.33</v>
      </c>
    </row>
    <row r="52" spans="1:2" ht="15" thickBot="1" x14ac:dyDescent="0.4">
      <c r="A52" s="1">
        <v>44431</v>
      </c>
      <c r="B52">
        <v>0.31</v>
      </c>
    </row>
    <row r="53" spans="1:2" ht="15.5" thickTop="1" thickBot="1" x14ac:dyDescent="0.4">
      <c r="A53" s="3" t="s">
        <v>12</v>
      </c>
      <c r="B53" s="3">
        <f>AVERAGE(B3:B52)</f>
        <v>0.40500000000000003</v>
      </c>
    </row>
    <row r="54" spans="1:2" ht="15.5" thickTop="1" thickBot="1" x14ac:dyDescent="0.4">
      <c r="A54" s="3" t="s">
        <v>13</v>
      </c>
      <c r="B54" s="3">
        <f>MAX(B3:B52)</f>
        <v>0.46</v>
      </c>
    </row>
    <row r="55" spans="1:2" ht="15.5" thickTop="1" thickBot="1" x14ac:dyDescent="0.4">
      <c r="A55" s="3" t="s">
        <v>14</v>
      </c>
      <c r="B55" s="3">
        <f>MIN(B3:B52)</f>
        <v>0.3</v>
      </c>
    </row>
    <row r="56" spans="1:2" ht="15.5" thickTop="1" thickBot="1" x14ac:dyDescent="0.4">
      <c r="A56" s="3" t="s">
        <v>15</v>
      </c>
      <c r="B56" s="3">
        <f>_xlfn.STDEV.P(B3:B52)</f>
        <v>4.1533119314590375E-2</v>
      </c>
    </row>
    <row r="57" spans="1:2" ht="15" thickTop="1" x14ac:dyDescent="0.35"/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1EBB-5563-41D9-A477-836EFF16511E}">
  <dimension ref="A1:C57"/>
  <sheetViews>
    <sheetView topLeftCell="A41" zoomScale="80" zoomScaleNormal="80" workbookViewId="0">
      <selection activeCell="B52" sqref="B52"/>
    </sheetView>
  </sheetViews>
  <sheetFormatPr defaultRowHeight="14.5" x14ac:dyDescent="0.35"/>
  <cols>
    <col min="1" max="1" width="10.26953125" bestFit="1" customWidth="1"/>
  </cols>
  <sheetData>
    <row r="1" spans="1:3" x14ac:dyDescent="0.35">
      <c r="A1" t="s">
        <v>0</v>
      </c>
      <c r="B1" t="s">
        <v>5</v>
      </c>
      <c r="C1" t="s">
        <v>6</v>
      </c>
    </row>
    <row r="2" spans="1:3" x14ac:dyDescent="0.35">
      <c r="B2" t="s">
        <v>11</v>
      </c>
    </row>
    <row r="3" spans="1:3" x14ac:dyDescent="0.35">
      <c r="A3" s="1">
        <v>44382</v>
      </c>
      <c r="B3">
        <v>1.4</v>
      </c>
      <c r="C3">
        <v>6.5</v>
      </c>
    </row>
    <row r="4" spans="1:3" x14ac:dyDescent="0.35">
      <c r="A4" s="1">
        <v>44383</v>
      </c>
      <c r="B4">
        <v>1.4</v>
      </c>
      <c r="C4">
        <v>6.5</v>
      </c>
    </row>
    <row r="5" spans="1:3" x14ac:dyDescent="0.35">
      <c r="A5" s="1">
        <v>44384</v>
      </c>
      <c r="B5">
        <v>1.4</v>
      </c>
      <c r="C5">
        <v>6.5</v>
      </c>
    </row>
    <row r="6" spans="1:3" x14ac:dyDescent="0.35">
      <c r="A6" s="1">
        <v>44385</v>
      </c>
      <c r="B6">
        <v>1.4</v>
      </c>
      <c r="C6">
        <v>6.5</v>
      </c>
    </row>
    <row r="7" spans="1:3" x14ac:dyDescent="0.35">
      <c r="A7" s="1">
        <v>44386</v>
      </c>
      <c r="B7">
        <v>1.4</v>
      </c>
      <c r="C7">
        <v>6.5</v>
      </c>
    </row>
    <row r="8" spans="1:3" x14ac:dyDescent="0.35">
      <c r="A8" s="1">
        <v>44387</v>
      </c>
      <c r="B8">
        <v>1.4</v>
      </c>
      <c r="C8">
        <v>6.5</v>
      </c>
    </row>
    <row r="9" spans="1:3" x14ac:dyDescent="0.35">
      <c r="A9" s="1">
        <v>44388</v>
      </c>
      <c r="B9">
        <v>1.4</v>
      </c>
      <c r="C9">
        <v>6.5</v>
      </c>
    </row>
    <row r="10" spans="1:3" x14ac:dyDescent="0.35">
      <c r="A10" s="1">
        <v>44389</v>
      </c>
      <c r="B10">
        <v>1.4</v>
      </c>
      <c r="C10">
        <v>6.5</v>
      </c>
    </row>
    <row r="11" spans="1:3" x14ac:dyDescent="0.35">
      <c r="A11" s="1">
        <v>44390</v>
      </c>
      <c r="B11">
        <v>1.4</v>
      </c>
      <c r="C11">
        <v>6.5</v>
      </c>
    </row>
    <row r="12" spans="1:3" x14ac:dyDescent="0.35">
      <c r="A12" s="1">
        <v>44391</v>
      </c>
      <c r="B12">
        <v>1.4</v>
      </c>
      <c r="C12">
        <v>6.5</v>
      </c>
    </row>
    <row r="13" spans="1:3" x14ac:dyDescent="0.35">
      <c r="A13" s="1">
        <v>44392</v>
      </c>
      <c r="B13">
        <v>2.2000000000000002</v>
      </c>
      <c r="C13">
        <v>6.5</v>
      </c>
    </row>
    <row r="14" spans="1:3" x14ac:dyDescent="0.35">
      <c r="A14" s="1">
        <v>44393</v>
      </c>
      <c r="B14">
        <v>2.2000000000000002</v>
      </c>
      <c r="C14">
        <v>6.5</v>
      </c>
    </row>
    <row r="15" spans="1:3" x14ac:dyDescent="0.35">
      <c r="A15" s="1">
        <v>44394</v>
      </c>
      <c r="B15">
        <v>2.2000000000000002</v>
      </c>
      <c r="C15">
        <v>6.5</v>
      </c>
    </row>
    <row r="16" spans="1:3" x14ac:dyDescent="0.35">
      <c r="A16" s="1">
        <v>44395</v>
      </c>
      <c r="B16">
        <v>2.2000000000000002</v>
      </c>
      <c r="C16">
        <v>6.5</v>
      </c>
    </row>
    <row r="17" spans="1:3" x14ac:dyDescent="0.35">
      <c r="A17" s="1">
        <v>44396</v>
      </c>
      <c r="B17">
        <v>2.2000000000000002</v>
      </c>
      <c r="C17">
        <v>6.5</v>
      </c>
    </row>
    <row r="18" spans="1:3" x14ac:dyDescent="0.35">
      <c r="A18" s="1">
        <v>44397</v>
      </c>
      <c r="B18">
        <v>2.2000000000000002</v>
      </c>
      <c r="C18">
        <v>6.5</v>
      </c>
    </row>
    <row r="19" spans="1:3" x14ac:dyDescent="0.35">
      <c r="A19" s="1">
        <v>44398</v>
      </c>
      <c r="B19">
        <v>2.2000000000000002</v>
      </c>
      <c r="C19">
        <v>6.5</v>
      </c>
    </row>
    <row r="20" spans="1:3" x14ac:dyDescent="0.35">
      <c r="A20" s="1">
        <v>44399</v>
      </c>
      <c r="B20">
        <v>2.2000000000000002</v>
      </c>
      <c r="C20">
        <v>6.4</v>
      </c>
    </row>
    <row r="21" spans="1:3" x14ac:dyDescent="0.35">
      <c r="A21" s="1">
        <v>44400</v>
      </c>
      <c r="B21">
        <v>2.2000000000000002</v>
      </c>
      <c r="C21">
        <v>6.5</v>
      </c>
    </row>
    <row r="22" spans="1:3" x14ac:dyDescent="0.35">
      <c r="A22" s="1">
        <v>44401</v>
      </c>
      <c r="B22">
        <v>2.2000000000000002</v>
      </c>
      <c r="C22">
        <v>6.5</v>
      </c>
    </row>
    <row r="23" spans="1:3" x14ac:dyDescent="0.35">
      <c r="A23" s="1">
        <v>44402</v>
      </c>
      <c r="B23">
        <v>2.2000000000000002</v>
      </c>
      <c r="C23">
        <v>6.5</v>
      </c>
    </row>
    <row r="24" spans="1:3" x14ac:dyDescent="0.35">
      <c r="A24" s="1">
        <v>44403</v>
      </c>
      <c r="B24">
        <v>2.2000000000000002</v>
      </c>
      <c r="C24">
        <v>6.5</v>
      </c>
    </row>
    <row r="25" spans="1:3" x14ac:dyDescent="0.35">
      <c r="A25" s="1">
        <v>44404</v>
      </c>
      <c r="B25">
        <v>2.2000000000000002</v>
      </c>
      <c r="C25">
        <v>6.5</v>
      </c>
    </row>
    <row r="26" spans="1:3" x14ac:dyDescent="0.35">
      <c r="A26" s="1">
        <v>44405</v>
      </c>
      <c r="B26">
        <v>2.2000000000000002</v>
      </c>
      <c r="C26">
        <v>6.5</v>
      </c>
    </row>
    <row r="27" spans="1:3" x14ac:dyDescent="0.35">
      <c r="A27" s="1">
        <v>44406</v>
      </c>
      <c r="B27">
        <v>2.2000000000000002</v>
      </c>
      <c r="C27">
        <v>6.5</v>
      </c>
    </row>
    <row r="28" spans="1:3" x14ac:dyDescent="0.35">
      <c r="A28" s="1">
        <v>44407</v>
      </c>
      <c r="B28">
        <v>2.2000000000000002</v>
      </c>
      <c r="C28">
        <v>6.3</v>
      </c>
    </row>
    <row r="29" spans="1:3" x14ac:dyDescent="0.35">
      <c r="A29" s="1">
        <v>44408</v>
      </c>
      <c r="B29">
        <v>2.1</v>
      </c>
      <c r="C29">
        <v>6.4</v>
      </c>
    </row>
    <row r="30" spans="1:3" x14ac:dyDescent="0.35">
      <c r="A30" s="1">
        <v>44409</v>
      </c>
      <c r="B30">
        <v>2.2000000000000002</v>
      </c>
      <c r="C30">
        <v>6.3</v>
      </c>
    </row>
    <row r="31" spans="1:3" x14ac:dyDescent="0.35">
      <c r="A31" s="1">
        <v>44410</v>
      </c>
      <c r="B31">
        <v>2.2000000000000002</v>
      </c>
      <c r="C31">
        <v>6.4</v>
      </c>
    </row>
    <row r="32" spans="1:3" x14ac:dyDescent="0.35">
      <c r="A32" s="1">
        <v>44411</v>
      </c>
      <c r="B32">
        <v>2.2000000000000002</v>
      </c>
      <c r="C32">
        <v>6.5</v>
      </c>
    </row>
    <row r="33" spans="1:3" x14ac:dyDescent="0.35">
      <c r="A33" s="1">
        <v>44412</v>
      </c>
      <c r="B33">
        <v>2.1</v>
      </c>
      <c r="C33">
        <v>6.5</v>
      </c>
    </row>
    <row r="34" spans="1:3" x14ac:dyDescent="0.35">
      <c r="A34" s="1">
        <v>44413</v>
      </c>
      <c r="B34">
        <v>2.1</v>
      </c>
      <c r="C34">
        <v>6.6</v>
      </c>
    </row>
    <row r="35" spans="1:3" x14ac:dyDescent="0.35">
      <c r="A35" s="1">
        <v>44414</v>
      </c>
      <c r="B35">
        <v>2.1</v>
      </c>
      <c r="C35">
        <v>6.6</v>
      </c>
    </row>
    <row r="36" spans="1:3" x14ac:dyDescent="0.35">
      <c r="A36" s="1">
        <v>44415</v>
      </c>
      <c r="B36">
        <v>2.2000000000000002</v>
      </c>
      <c r="C36">
        <v>6.5</v>
      </c>
    </row>
    <row r="37" spans="1:3" x14ac:dyDescent="0.35">
      <c r="A37" s="1">
        <v>44416</v>
      </c>
      <c r="B37">
        <v>2.2000000000000002</v>
      </c>
      <c r="C37">
        <v>6.6</v>
      </c>
    </row>
    <row r="38" spans="1:3" x14ac:dyDescent="0.35">
      <c r="A38" s="1">
        <v>44417</v>
      </c>
      <c r="B38">
        <v>2.2000000000000002</v>
      </c>
      <c r="C38">
        <v>6.5</v>
      </c>
    </row>
    <row r="39" spans="1:3" x14ac:dyDescent="0.35">
      <c r="A39" s="1">
        <v>44418</v>
      </c>
      <c r="B39">
        <v>2.1</v>
      </c>
      <c r="C39">
        <v>6.6</v>
      </c>
    </row>
    <row r="40" spans="1:3" x14ac:dyDescent="0.35">
      <c r="A40" s="1">
        <v>44419</v>
      </c>
      <c r="B40">
        <v>2.2999999999999998</v>
      </c>
      <c r="C40">
        <v>6.5</v>
      </c>
    </row>
    <row r="41" spans="1:3" x14ac:dyDescent="0.35">
      <c r="A41" s="1">
        <v>44420</v>
      </c>
      <c r="B41">
        <v>2.2000000000000002</v>
      </c>
      <c r="C41">
        <v>6.5</v>
      </c>
    </row>
    <row r="42" spans="1:3" x14ac:dyDescent="0.35">
      <c r="A42" s="1">
        <v>44421</v>
      </c>
      <c r="B42">
        <v>2.2000000000000002</v>
      </c>
      <c r="C42">
        <v>6.3</v>
      </c>
    </row>
    <row r="43" spans="1:3" x14ac:dyDescent="0.35">
      <c r="A43" s="1">
        <v>44422</v>
      </c>
      <c r="B43">
        <v>2.2000000000000002</v>
      </c>
      <c r="C43">
        <v>6.4</v>
      </c>
    </row>
    <row r="44" spans="1:3" x14ac:dyDescent="0.35">
      <c r="A44" s="1">
        <v>44423</v>
      </c>
      <c r="B44">
        <v>2.2000000000000002</v>
      </c>
      <c r="C44">
        <v>6.5</v>
      </c>
    </row>
    <row r="45" spans="1:3" x14ac:dyDescent="0.35">
      <c r="A45" s="1">
        <v>44424</v>
      </c>
      <c r="B45">
        <v>2.2000000000000002</v>
      </c>
      <c r="C45">
        <v>6.6</v>
      </c>
    </row>
    <row r="46" spans="1:3" x14ac:dyDescent="0.35">
      <c r="A46" s="1">
        <v>44425</v>
      </c>
      <c r="B46">
        <v>2.2999999999999998</v>
      </c>
      <c r="C46">
        <v>6.5</v>
      </c>
    </row>
    <row r="47" spans="1:3" x14ac:dyDescent="0.35">
      <c r="A47" s="1">
        <v>44426</v>
      </c>
      <c r="B47">
        <v>2.4</v>
      </c>
      <c r="C47">
        <v>6.5</v>
      </c>
    </row>
    <row r="48" spans="1:3" x14ac:dyDescent="0.35">
      <c r="A48" s="1">
        <v>44427</v>
      </c>
      <c r="B48">
        <v>2.2999999999999998</v>
      </c>
      <c r="C48">
        <v>6.6</v>
      </c>
    </row>
    <row r="49" spans="1:3" x14ac:dyDescent="0.35">
      <c r="A49" s="1">
        <v>44428</v>
      </c>
      <c r="B49">
        <v>2.4</v>
      </c>
      <c r="C49">
        <v>6.5</v>
      </c>
    </row>
    <row r="50" spans="1:3" x14ac:dyDescent="0.35">
      <c r="A50" s="1">
        <v>44429</v>
      </c>
      <c r="B50">
        <v>2.2999999999999998</v>
      </c>
      <c r="C50">
        <v>6.4</v>
      </c>
    </row>
    <row r="51" spans="1:3" x14ac:dyDescent="0.35">
      <c r="A51" s="1">
        <v>44430</v>
      </c>
      <c r="B51">
        <v>2.2999999999999998</v>
      </c>
      <c r="C51">
        <v>6.5</v>
      </c>
    </row>
    <row r="52" spans="1:3" ht="15" thickBot="1" x14ac:dyDescent="0.4">
      <c r="A52" s="1">
        <v>44431</v>
      </c>
      <c r="B52">
        <v>2.2999999999999998</v>
      </c>
      <c r="C52">
        <v>6.5</v>
      </c>
    </row>
    <row r="53" spans="1:3" ht="15.5" thickTop="1" thickBot="1" x14ac:dyDescent="0.4">
      <c r="A53" s="3" t="s">
        <v>12</v>
      </c>
      <c r="B53" s="3">
        <f>AVERAGE(B3:B52)</f>
        <v>2.0500000000000007</v>
      </c>
      <c r="C53" s="3">
        <f>AVERAGE(C3:C52)</f>
        <v>6.49</v>
      </c>
    </row>
    <row r="54" spans="1:3" ht="15.5" thickTop="1" thickBot="1" x14ac:dyDescent="0.4">
      <c r="A54" s="3" t="s">
        <v>13</v>
      </c>
      <c r="B54" s="3">
        <f>MAX(B3:B52)</f>
        <v>2.4</v>
      </c>
      <c r="C54" s="3">
        <f>MAX(C3:C52)</f>
        <v>6.6</v>
      </c>
    </row>
    <row r="55" spans="1:3" ht="15.5" thickTop="1" thickBot="1" x14ac:dyDescent="0.4">
      <c r="A55" s="3" t="s">
        <v>14</v>
      </c>
      <c r="B55" s="3">
        <f>MIN(B3:B52)</f>
        <v>1.4</v>
      </c>
      <c r="C55" s="3">
        <f>MIN(C3:C52)</f>
        <v>6.3</v>
      </c>
    </row>
    <row r="56" spans="1:3" ht="15.5" thickTop="1" thickBot="1" x14ac:dyDescent="0.4">
      <c r="A56" s="3" t="s">
        <v>15</v>
      </c>
      <c r="B56" s="3">
        <f>_xlfn.STDEV.P(B3:B52)</f>
        <v>0.3306055050963253</v>
      </c>
      <c r="C56" s="3">
        <f>_xlfn.STDEV.P(C3:C52)</f>
        <v>6.7082039324993584E-2</v>
      </c>
    </row>
    <row r="57" spans="1:3" ht="15" thickTop="1" x14ac:dyDescent="0.35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Temperature</vt:lpstr>
      <vt:lpstr>Relative humidity</vt:lpstr>
      <vt:lpstr>CO2 Concentration</vt:lpstr>
      <vt:lpstr>Wind speed</vt:lpstr>
      <vt:lpstr>EC and 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Laura Goodfellow</cp:lastModifiedBy>
  <dcterms:created xsi:type="dcterms:W3CDTF">2022-03-18T00:20:49Z</dcterms:created>
  <dcterms:modified xsi:type="dcterms:W3CDTF">2022-10-07T15:50:39Z</dcterms:modified>
</cp:coreProperties>
</file>