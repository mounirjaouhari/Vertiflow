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rontiers popravak\basil_supplementary files\"/>
    </mc:Choice>
  </mc:AlternateContent>
  <xr:revisionPtr revIDLastSave="0" documentId="13_ncr:1_{62BCA7CF-5B9D-42F7-AC0B-15908A022CCB}" xr6:coauthVersionLast="45" xr6:coauthVersionMax="45" xr10:uidLastSave="{00000000-0000-0000-0000-000000000000}"/>
  <bookViews>
    <workbookView xWindow="-108" yWindow="-108" windowWidth="23256" windowHeight="12576" tabRatio="901" xr2:uid="{00000000-000D-0000-FFFF-FFFF00000000}"/>
  </bookViews>
  <sheets>
    <sheet name="ST5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9" l="1"/>
  <c r="L17" i="19"/>
  <c r="J30" i="19"/>
  <c r="J37" i="19"/>
  <c r="L47" i="19"/>
  <c r="L56" i="19"/>
  <c r="L77" i="19" l="1"/>
  <c r="L68" i="19"/>
</calcChain>
</file>

<file path=xl/sharedStrings.xml><?xml version="1.0" encoding="utf-8"?>
<sst xmlns="http://schemas.openxmlformats.org/spreadsheetml/2006/main" count="189" uniqueCount="53">
  <si>
    <t>C</t>
  </si>
  <si>
    <t>S1</t>
  </si>
  <si>
    <t>S2</t>
  </si>
  <si>
    <t>D1</t>
  </si>
  <si>
    <t>D2</t>
  </si>
  <si>
    <t>From</t>
  </si>
  <si>
    <t>To</t>
  </si>
  <si>
    <t>Stepdisc</t>
  </si>
  <si>
    <t>Discrim</t>
  </si>
  <si>
    <t>Standard</t>
  </si>
  <si>
    <t>Cross-validation</t>
  </si>
  <si>
    <t>NoSuccess</t>
  </si>
  <si>
    <t>% Success</t>
  </si>
  <si>
    <t>The discriminant function, based on seven traits, correctly classified all the plant into their respective treatment (100% classification success) using the standard method, and 47 out of 50 plants (94.00% classification success) using cross-validation.</t>
  </si>
  <si>
    <t>Chosen traits (11)</t>
  </si>
  <si>
    <t>Chosen traits (5)</t>
  </si>
  <si>
    <t>The discriminant function, based on seven traits, correctly classified all the plant into their respective treatment (100% classification success) using the standard method, and 49 out of 50 plants (98.00% classification success) using cross-validation.</t>
  </si>
  <si>
    <t>The discriminant function, based on seven traits, correctly classified all the plant into their respective treatment (100% classification success) using the standard method, and 45 out of 50 plants (90.00% classification success) using cross-validation.</t>
  </si>
  <si>
    <t>Chosen traits (15)</t>
  </si>
  <si>
    <t>Chosen traits (17)</t>
  </si>
  <si>
    <t>NPQ</t>
  </si>
  <si>
    <t>ETR</t>
  </si>
  <si>
    <t>SAT</t>
  </si>
  <si>
    <t>CHI</t>
  </si>
  <si>
    <t>ARI</t>
  </si>
  <si>
    <t>LINC</t>
  </si>
  <si>
    <t>LPD</t>
  </si>
  <si>
    <t>TLA</t>
  </si>
  <si>
    <t>NDVI</t>
  </si>
  <si>
    <t>DB</t>
  </si>
  <si>
    <t>GI</t>
  </si>
  <si>
    <t>PH</t>
  </si>
  <si>
    <t>LAI</t>
  </si>
  <si>
    <t>PSRI</t>
  </si>
  <si>
    <r>
      <t>F</t>
    </r>
    <r>
      <rPr>
        <vertAlign val="subscript"/>
        <sz val="10"/>
        <rFont val="Arial"/>
        <family val="2"/>
      </rPr>
      <t>0</t>
    </r>
  </si>
  <si>
    <r>
      <t>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</si>
  <si>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</si>
  <si>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m'</t>
    </r>
  </si>
  <si>
    <r>
      <t>R</t>
    </r>
    <r>
      <rPr>
        <vertAlign val="subscript"/>
        <sz val="10"/>
        <rFont val="Arial"/>
        <family val="2"/>
      </rPr>
      <t>Red</t>
    </r>
  </si>
  <si>
    <r>
      <t>R</t>
    </r>
    <r>
      <rPr>
        <vertAlign val="subscript"/>
        <sz val="10"/>
        <rFont val="Arial"/>
        <family val="2"/>
      </rPr>
      <t>Green</t>
    </r>
  </si>
  <si>
    <r>
      <t>R</t>
    </r>
    <r>
      <rPr>
        <vertAlign val="subscript"/>
        <sz val="10"/>
        <rFont val="Arial"/>
        <family val="2"/>
      </rPr>
      <t>Blue</t>
    </r>
  </si>
  <si>
    <r>
      <t>HUE</t>
    </r>
    <r>
      <rPr>
        <vertAlign val="subscript"/>
        <sz val="10"/>
        <rFont val="Arial"/>
        <family val="2"/>
      </rPr>
      <t>2D</t>
    </r>
  </si>
  <si>
    <r>
      <t>R</t>
    </r>
    <r>
      <rPr>
        <vertAlign val="subscript"/>
        <sz val="10"/>
        <rFont val="Arial"/>
        <family val="2"/>
      </rPr>
      <t>NIR</t>
    </r>
  </si>
  <si>
    <r>
      <t>F</t>
    </r>
    <r>
      <rPr>
        <vertAlign val="subscript"/>
        <sz val="10"/>
        <rFont val="Arial"/>
        <family val="2"/>
      </rPr>
      <t>s'</t>
    </r>
  </si>
  <si>
    <r>
      <t>F</t>
    </r>
    <r>
      <rPr>
        <vertAlign val="subscript"/>
        <sz val="10"/>
        <rFont val="Arial"/>
        <family val="2"/>
      </rPr>
      <t>q'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m'</t>
    </r>
  </si>
  <si>
    <r>
      <t xml:space="preserve">a) </t>
    </r>
    <r>
      <rPr>
        <sz val="10"/>
        <rFont val="Arial"/>
        <family val="2"/>
      </rPr>
      <t>T1 (7 days) among all five treatments</t>
    </r>
  </si>
  <si>
    <r>
      <t xml:space="preserve">b) </t>
    </r>
    <r>
      <rPr>
        <sz val="10"/>
        <rFont val="Arial"/>
        <family val="2"/>
      </rPr>
      <t>T1 (7 days) among C, S1 and S2 (D1 and D2 as test data)</t>
    </r>
  </si>
  <si>
    <r>
      <t>c)</t>
    </r>
    <r>
      <rPr>
        <sz val="10"/>
        <rFont val="Arial"/>
        <family val="2"/>
      </rPr>
      <t xml:space="preserve"> T2 (14 days) among all five treatments</t>
    </r>
  </si>
  <si>
    <r>
      <t xml:space="preserve">d) </t>
    </r>
    <r>
      <rPr>
        <sz val="10"/>
        <rFont val="Arial"/>
        <family val="2"/>
      </rPr>
      <t>T3 (21 days) among all five treatments</t>
    </r>
  </si>
  <si>
    <r>
      <t>R</t>
    </r>
    <r>
      <rPr>
        <vertAlign val="subscript"/>
        <sz val="10"/>
        <rFont val="Arial"/>
        <family val="2"/>
      </rPr>
      <t>FarRed</t>
    </r>
  </si>
  <si>
    <r>
      <rPr>
        <b/>
        <sz val="10"/>
        <rFont val="Arial"/>
        <family val="2"/>
      </rPr>
      <t>Supplementary Table 5.</t>
    </r>
    <r>
      <rPr>
        <sz val="10"/>
        <rFont val="Arial"/>
        <family val="2"/>
      </rPr>
      <t xml:space="preserve"> Discriminant analysis results. Chosen traits are shown and the results of cross-validation for the classification of a chosen subset of variables into their respective groups/treatments 
(control (C), moderate salinity stress (S1), severe salinity stress (S2), moderate drought (D1), severe drought (D2)) at </t>
    </r>
    <r>
      <rPr>
        <b/>
        <sz val="10"/>
        <rFont val="Arial"/>
        <family val="2"/>
      </rPr>
      <t>a)</t>
    </r>
    <r>
      <rPr>
        <sz val="10"/>
        <rFont val="Arial"/>
        <family val="2"/>
      </rPr>
      <t xml:space="preserve"> T1 (7 days), </t>
    </r>
    <r>
      <rPr>
        <b/>
        <sz val="10"/>
        <rFont val="Arial"/>
        <family val="2"/>
      </rPr>
      <t>b)</t>
    </r>
    <r>
      <rPr>
        <sz val="10"/>
        <rFont val="Arial"/>
        <family val="2"/>
      </rPr>
      <t xml:space="preserve"> T1 for the C, S1 and S2, </t>
    </r>
    <r>
      <rPr>
        <b/>
        <sz val="10"/>
        <rFont val="Arial"/>
        <family val="2"/>
      </rPr>
      <t>c)</t>
    </r>
    <r>
      <rPr>
        <sz val="10"/>
        <rFont val="Arial"/>
        <family val="2"/>
      </rPr>
      <t xml:space="preserve"> T2 (14 days) and, </t>
    </r>
    <r>
      <rPr>
        <b/>
        <sz val="10"/>
        <rFont val="Arial"/>
        <family val="2"/>
      </rPr>
      <t>d)</t>
    </r>
    <r>
      <rPr>
        <sz val="10"/>
        <rFont val="Arial"/>
        <family val="2"/>
      </rPr>
      <t xml:space="preserve"> T3 (21 days).</t>
    </r>
  </si>
  <si>
    <r>
      <t xml:space="preserve">SLENTRY = p
specifies the significance level for adding variables in the forward selection mode, where 0 </t>
    </r>
    <r>
      <rPr>
        <sz val="10"/>
        <rFont val="Times New Roman"/>
        <family val="1"/>
      </rPr>
      <t xml:space="preserve">≤ p ≤ 1. </t>
    </r>
    <r>
      <rPr>
        <sz val="10"/>
        <color rgb="FF000000"/>
        <rFont val="Times New Roman"/>
        <family val="1"/>
      </rPr>
      <t>The default value is 0.15.</t>
    </r>
  </si>
  <si>
    <r>
      <t xml:space="preserve">SLSTAY = p
specifies the significance level for retaining variables in the backward elimination mode, where 0 </t>
    </r>
    <r>
      <rPr>
        <sz val="10"/>
        <rFont val="Times New Roman"/>
        <family val="1"/>
      </rPr>
      <t xml:space="preserve">≤ p ≤ 1. </t>
    </r>
    <r>
      <rPr>
        <sz val="10"/>
        <color rgb="FF000000"/>
        <rFont val="Times New Roman"/>
        <family val="1"/>
      </rPr>
      <t>The default value is 0.15.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</si>
</sst>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238"/>
    </font>
    <font>
      <sz val="10"/>
      <color theme="1"/>
      <name val="Courier New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color rgb="FF242021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2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justify" vertical="center" wrapText="1"/>
    </xf>
    <xf numFmtId="0" fontId="3" fillId="0" borderId="5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justify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7" fillId="0" borderId="7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</cellXfs>
  <cellStyles count="3">
    <cellStyle name="Normalno" xfId="0" builtinId="0"/>
    <cellStyle name="Normalno 2" xfId="1" xr:uid="{3EAC97B2-A200-4779-8247-FCE4E49B5E97}"/>
    <cellStyle name="Normalno 3" xfId="2" xr:uid="{E02AF38F-674C-43AE-87CB-100D20D57A67}"/>
  </cellStyles>
  <dxfs count="0"/>
  <tableStyles count="0" defaultTableStyle="TableStyleMedium9" defaultPivotStyle="PivotStyleLight16"/>
  <colors>
    <mruColors>
      <color rgb="FFFF9900"/>
      <color rgb="FF0000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A07C-B9A4-47B9-A8E0-D83D62C6675B}">
  <dimension ref="A1:AB83"/>
  <sheetViews>
    <sheetView tabSelected="1" topLeftCell="C46" workbookViewId="0">
      <selection activeCell="C63" sqref="C63:C65"/>
    </sheetView>
  </sheetViews>
  <sheetFormatPr defaultColWidth="9.109375" defaultRowHeight="13.2" x14ac:dyDescent="0.25"/>
  <cols>
    <col min="1" max="1" width="52.6640625" style="1" bestFit="1" customWidth="1"/>
    <col min="2" max="2" width="29.77734375" style="1" customWidth="1"/>
    <col min="3" max="3" width="42.109375" style="1" bestFit="1" customWidth="1"/>
    <col min="4" max="18" width="10.6640625" style="1" customWidth="1"/>
    <col min="19" max="19" width="5.33203125" style="1" bestFit="1" customWidth="1"/>
    <col min="20" max="20" width="8.21875" style="1" bestFit="1" customWidth="1"/>
    <col min="21" max="16384" width="9.109375" style="1"/>
  </cols>
  <sheetData>
    <row r="1" spans="1:28" ht="37.200000000000003" customHeight="1" x14ac:dyDescent="0.25">
      <c r="A1" s="35" t="s">
        <v>50</v>
      </c>
      <c r="B1" s="36"/>
      <c r="C1" s="36"/>
      <c r="D1" s="36"/>
      <c r="E1" s="36"/>
      <c r="F1" s="36"/>
      <c r="G1" s="36"/>
      <c r="H1" s="36"/>
      <c r="I1" s="37"/>
    </row>
    <row r="2" spans="1:28" ht="15.6" customHeight="1" x14ac:dyDescent="0.25">
      <c r="A2" s="24" t="s">
        <v>45</v>
      </c>
      <c r="B2" s="10" t="s">
        <v>7</v>
      </c>
      <c r="C2" s="38" t="s">
        <v>18</v>
      </c>
      <c r="D2" s="41" t="s">
        <v>34</v>
      </c>
      <c r="E2" s="41" t="s">
        <v>35</v>
      </c>
      <c r="F2" s="41" t="s">
        <v>36</v>
      </c>
      <c r="G2" s="41" t="s">
        <v>37</v>
      </c>
      <c r="H2" s="41" t="s">
        <v>20</v>
      </c>
      <c r="I2" s="41" t="s">
        <v>38</v>
      </c>
      <c r="J2" s="41" t="s">
        <v>39</v>
      </c>
      <c r="K2" s="41" t="s">
        <v>40</v>
      </c>
      <c r="L2" s="41" t="s">
        <v>41</v>
      </c>
      <c r="M2" s="41" t="s">
        <v>22</v>
      </c>
      <c r="N2" s="41" t="s">
        <v>42</v>
      </c>
      <c r="O2" s="41" t="s">
        <v>23</v>
      </c>
      <c r="P2" s="41" t="s">
        <v>24</v>
      </c>
      <c r="Q2" s="44" t="s">
        <v>25</v>
      </c>
      <c r="R2" s="47" t="s">
        <v>26</v>
      </c>
    </row>
    <row r="3" spans="1:28" ht="66" x14ac:dyDescent="0.25">
      <c r="A3" s="31"/>
      <c r="B3" s="11" t="s">
        <v>51</v>
      </c>
      <c r="C3" s="39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5"/>
      <c r="R3" s="48"/>
    </row>
    <row r="4" spans="1:28" ht="68.400000000000006" customHeight="1" x14ac:dyDescent="0.25">
      <c r="A4" s="31"/>
      <c r="B4" s="12" t="s">
        <v>52</v>
      </c>
      <c r="C4" s="40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6"/>
      <c r="R4" s="49"/>
    </row>
    <row r="5" spans="1:28" ht="79.2" x14ac:dyDescent="0.25">
      <c r="A5" s="27"/>
      <c r="B5" s="1" t="s">
        <v>8</v>
      </c>
      <c r="C5" s="2" t="s">
        <v>13</v>
      </c>
      <c r="J5" s="17"/>
    </row>
    <row r="6" spans="1:28" x14ac:dyDescent="0.25">
      <c r="A6" s="27"/>
      <c r="C6" s="2"/>
      <c r="J6" s="17"/>
    </row>
    <row r="7" spans="1:28" x14ac:dyDescent="0.25">
      <c r="A7" s="27"/>
      <c r="C7" s="1" t="s">
        <v>9</v>
      </c>
      <c r="F7" s="1" t="s">
        <v>6</v>
      </c>
      <c r="J7" s="17"/>
      <c r="K7" s="1" t="s">
        <v>11</v>
      </c>
      <c r="L7" s="1">
        <v>50</v>
      </c>
    </row>
    <row r="8" spans="1:28" x14ac:dyDescent="0.25">
      <c r="A8" s="27"/>
      <c r="F8" s="3" t="s">
        <v>0</v>
      </c>
      <c r="G8" s="3" t="s">
        <v>1</v>
      </c>
      <c r="H8" s="3" t="s">
        <v>2</v>
      </c>
      <c r="I8" s="3" t="s">
        <v>3</v>
      </c>
      <c r="J8" s="18" t="s">
        <v>4</v>
      </c>
      <c r="K8" s="1" t="s">
        <v>12</v>
      </c>
      <c r="L8" s="4">
        <f>(L7/50)*100</f>
        <v>100</v>
      </c>
    </row>
    <row r="9" spans="1:28" x14ac:dyDescent="0.25">
      <c r="A9" s="27"/>
      <c r="D9" s="1" t="s">
        <v>5</v>
      </c>
      <c r="E9" s="1" t="s">
        <v>0</v>
      </c>
      <c r="F9" s="1">
        <v>10</v>
      </c>
      <c r="J9" s="17"/>
    </row>
    <row r="10" spans="1:28" x14ac:dyDescent="0.25">
      <c r="A10" s="27"/>
      <c r="E10" s="1" t="s">
        <v>1</v>
      </c>
      <c r="G10" s="1">
        <v>10</v>
      </c>
      <c r="J10" s="17"/>
      <c r="O10" s="5"/>
      <c r="P10" s="5"/>
      <c r="Q10" s="5"/>
      <c r="R10" s="5"/>
      <c r="S10" s="5"/>
      <c r="T10" s="5"/>
      <c r="U10" s="5"/>
      <c r="AA10" s="5"/>
      <c r="AB10" s="5"/>
    </row>
    <row r="11" spans="1:28" x14ac:dyDescent="0.25">
      <c r="A11" s="27"/>
      <c r="E11" s="1" t="s">
        <v>2</v>
      </c>
      <c r="H11" s="1">
        <v>10</v>
      </c>
      <c r="J11" s="17"/>
    </row>
    <row r="12" spans="1:28" x14ac:dyDescent="0.25">
      <c r="A12" s="27"/>
      <c r="D12" s="6"/>
      <c r="E12" s="1" t="s">
        <v>3</v>
      </c>
      <c r="I12" s="1">
        <v>10</v>
      </c>
      <c r="J12" s="17"/>
    </row>
    <row r="13" spans="1:28" x14ac:dyDescent="0.25">
      <c r="A13" s="27"/>
      <c r="E13" s="1" t="s">
        <v>4</v>
      </c>
      <c r="J13" s="17">
        <v>10</v>
      </c>
    </row>
    <row r="14" spans="1:28" x14ac:dyDescent="0.25">
      <c r="A14" s="27"/>
      <c r="J14" s="17"/>
    </row>
    <row r="15" spans="1:28" x14ac:dyDescent="0.25">
      <c r="A15" s="27"/>
      <c r="J15" s="17"/>
    </row>
    <row r="16" spans="1:28" x14ac:dyDescent="0.25">
      <c r="A16" s="27"/>
      <c r="C16" s="1" t="s">
        <v>10</v>
      </c>
      <c r="F16" s="1" t="s">
        <v>6</v>
      </c>
      <c r="J16" s="17"/>
      <c r="K16" s="1" t="s">
        <v>11</v>
      </c>
      <c r="L16" s="1">
        <v>47</v>
      </c>
    </row>
    <row r="17" spans="1:12" x14ac:dyDescent="0.25">
      <c r="A17" s="27"/>
      <c r="E17" s="7"/>
      <c r="F17" s="8" t="s">
        <v>0</v>
      </c>
      <c r="G17" s="8" t="s">
        <v>1</v>
      </c>
      <c r="H17" s="8" t="s">
        <v>2</v>
      </c>
      <c r="I17" s="8" t="s">
        <v>3</v>
      </c>
      <c r="J17" s="30" t="s">
        <v>4</v>
      </c>
      <c r="K17" s="1" t="s">
        <v>12</v>
      </c>
      <c r="L17" s="4">
        <f>(L16/50)*100</f>
        <v>94</v>
      </c>
    </row>
    <row r="18" spans="1:12" x14ac:dyDescent="0.25">
      <c r="A18" s="27"/>
      <c r="D18" s="1" t="s">
        <v>5</v>
      </c>
      <c r="E18" s="7" t="s">
        <v>0</v>
      </c>
      <c r="F18" s="7">
        <v>10</v>
      </c>
      <c r="G18" s="7"/>
      <c r="H18" s="7"/>
      <c r="I18" s="7"/>
      <c r="J18" s="19"/>
    </row>
    <row r="19" spans="1:12" x14ac:dyDescent="0.25">
      <c r="A19" s="27"/>
      <c r="E19" s="7" t="s">
        <v>1</v>
      </c>
      <c r="F19" s="7">
        <v>1</v>
      </c>
      <c r="G19" s="7">
        <v>8</v>
      </c>
      <c r="H19" s="7">
        <v>1</v>
      </c>
      <c r="I19" s="7"/>
      <c r="J19" s="19"/>
    </row>
    <row r="20" spans="1:12" x14ac:dyDescent="0.25">
      <c r="A20" s="27"/>
      <c r="E20" s="7" t="s">
        <v>2</v>
      </c>
      <c r="F20" s="7"/>
      <c r="G20" s="7">
        <v>1</v>
      </c>
      <c r="H20" s="7">
        <v>9</v>
      </c>
      <c r="I20" s="7"/>
      <c r="J20" s="19"/>
    </row>
    <row r="21" spans="1:12" x14ac:dyDescent="0.25">
      <c r="A21" s="27"/>
      <c r="D21" s="6"/>
      <c r="E21" s="7" t="s">
        <v>3</v>
      </c>
      <c r="F21" s="7"/>
      <c r="G21" s="7"/>
      <c r="H21" s="7"/>
      <c r="I21" s="7">
        <v>10</v>
      </c>
      <c r="J21" s="19"/>
    </row>
    <row r="22" spans="1:12" x14ac:dyDescent="0.25">
      <c r="A22" s="27"/>
      <c r="E22" s="7" t="s">
        <v>4</v>
      </c>
      <c r="F22" s="7"/>
      <c r="G22" s="7"/>
      <c r="H22" s="7"/>
      <c r="I22" s="7"/>
      <c r="J22" s="19">
        <v>10</v>
      </c>
    </row>
    <row r="23" spans="1:12" x14ac:dyDescent="0.25">
      <c r="A23" s="28"/>
      <c r="B23" s="21"/>
      <c r="C23" s="21"/>
      <c r="D23" s="21"/>
      <c r="E23" s="22"/>
      <c r="F23" s="22"/>
      <c r="G23" s="22"/>
      <c r="H23" s="22"/>
      <c r="I23" s="22"/>
      <c r="J23" s="23"/>
    </row>
    <row r="24" spans="1:12" x14ac:dyDescent="0.25">
      <c r="D24" s="9"/>
      <c r="E24" s="7"/>
      <c r="F24" s="7"/>
      <c r="G24" s="7"/>
      <c r="H24" s="7"/>
      <c r="I24" s="7"/>
      <c r="J24" s="7"/>
    </row>
    <row r="25" spans="1:12" ht="15.6" customHeight="1" x14ac:dyDescent="0.25">
      <c r="A25" s="24" t="s">
        <v>46</v>
      </c>
      <c r="B25" s="10" t="s">
        <v>7</v>
      </c>
      <c r="C25" s="44" t="s">
        <v>15</v>
      </c>
      <c r="D25" s="44" t="s">
        <v>36</v>
      </c>
      <c r="E25" s="44" t="s">
        <v>21</v>
      </c>
      <c r="F25" s="44" t="s">
        <v>41</v>
      </c>
      <c r="G25" s="44" t="s">
        <v>23</v>
      </c>
      <c r="H25" s="47" t="s">
        <v>24</v>
      </c>
    </row>
    <row r="26" spans="1:12" ht="66" x14ac:dyDescent="0.25">
      <c r="A26" s="25"/>
      <c r="B26" s="11" t="s">
        <v>51</v>
      </c>
      <c r="C26" s="45"/>
      <c r="D26" s="45"/>
      <c r="E26" s="45"/>
      <c r="F26" s="45"/>
      <c r="G26" s="45"/>
      <c r="H26" s="48"/>
    </row>
    <row r="27" spans="1:12" ht="66" x14ac:dyDescent="0.25">
      <c r="A27" s="25"/>
      <c r="B27" s="12" t="s">
        <v>52</v>
      </c>
      <c r="C27" s="46"/>
      <c r="D27" s="46"/>
      <c r="E27" s="46"/>
      <c r="F27" s="46"/>
      <c r="G27" s="46"/>
      <c r="H27" s="49"/>
    </row>
    <row r="28" spans="1:12" ht="79.2" x14ac:dyDescent="0.25">
      <c r="A28" s="26"/>
      <c r="B28" s="10" t="s">
        <v>8</v>
      </c>
      <c r="C28" s="13" t="s">
        <v>16</v>
      </c>
      <c r="D28" s="14"/>
      <c r="E28" s="14"/>
      <c r="F28" s="14"/>
      <c r="G28" s="14"/>
      <c r="H28" s="15"/>
    </row>
    <row r="29" spans="1:12" x14ac:dyDescent="0.25">
      <c r="A29" s="27"/>
      <c r="B29" s="16"/>
      <c r="C29" s="1" t="s">
        <v>9</v>
      </c>
      <c r="F29" s="1" t="s">
        <v>6</v>
      </c>
      <c r="H29" s="17"/>
      <c r="I29" s="1" t="s">
        <v>11</v>
      </c>
      <c r="J29" s="1">
        <v>50</v>
      </c>
    </row>
    <row r="30" spans="1:12" x14ac:dyDescent="0.25">
      <c r="A30" s="27"/>
      <c r="B30" s="16"/>
      <c r="F30" s="3" t="s">
        <v>0</v>
      </c>
      <c r="G30" s="3" t="s">
        <v>1</v>
      </c>
      <c r="H30" s="18" t="s">
        <v>2</v>
      </c>
      <c r="I30" s="1" t="s">
        <v>12</v>
      </c>
      <c r="J30" s="4">
        <f>(J29/50)*100</f>
        <v>100</v>
      </c>
    </row>
    <row r="31" spans="1:12" x14ac:dyDescent="0.25">
      <c r="A31" s="27"/>
      <c r="B31" s="16"/>
      <c r="D31" s="1" t="s">
        <v>5</v>
      </c>
      <c r="E31" s="1" t="s">
        <v>0</v>
      </c>
      <c r="F31" s="1">
        <v>10</v>
      </c>
      <c r="H31" s="17"/>
    </row>
    <row r="32" spans="1:12" x14ac:dyDescent="0.25">
      <c r="A32" s="27"/>
      <c r="B32" s="16"/>
      <c r="E32" s="1" t="s">
        <v>1</v>
      </c>
      <c r="G32" s="1">
        <v>10</v>
      </c>
      <c r="H32" s="17"/>
    </row>
    <row r="33" spans="1:14" x14ac:dyDescent="0.25">
      <c r="A33" s="27"/>
      <c r="B33" s="16"/>
      <c r="E33" s="1" t="s">
        <v>2</v>
      </c>
      <c r="H33" s="17">
        <v>10</v>
      </c>
    </row>
    <row r="34" spans="1:14" x14ac:dyDescent="0.25">
      <c r="A34" s="27"/>
      <c r="B34" s="16"/>
      <c r="H34" s="17"/>
    </row>
    <row r="35" spans="1:14" x14ac:dyDescent="0.25">
      <c r="A35" s="27"/>
      <c r="B35" s="16"/>
      <c r="H35" s="17"/>
    </row>
    <row r="36" spans="1:14" x14ac:dyDescent="0.25">
      <c r="A36" s="27"/>
      <c r="B36" s="16"/>
      <c r="C36" s="1" t="s">
        <v>10</v>
      </c>
      <c r="F36" s="1" t="s">
        <v>6</v>
      </c>
      <c r="H36" s="17"/>
      <c r="I36" s="1" t="s">
        <v>11</v>
      </c>
      <c r="J36" s="1">
        <v>49</v>
      </c>
    </row>
    <row r="37" spans="1:14" x14ac:dyDescent="0.25">
      <c r="A37" s="27"/>
      <c r="B37" s="16"/>
      <c r="F37" s="3" t="s">
        <v>0</v>
      </c>
      <c r="G37" s="3" t="s">
        <v>1</v>
      </c>
      <c r="H37" s="18" t="s">
        <v>2</v>
      </c>
      <c r="I37" s="1" t="s">
        <v>12</v>
      </c>
      <c r="J37" s="4">
        <f>(J36/50)*100</f>
        <v>98</v>
      </c>
    </row>
    <row r="38" spans="1:14" x14ac:dyDescent="0.25">
      <c r="A38" s="27"/>
      <c r="B38" s="16"/>
      <c r="D38" s="1" t="s">
        <v>5</v>
      </c>
      <c r="E38" s="1" t="s">
        <v>0</v>
      </c>
      <c r="F38" s="1">
        <v>10</v>
      </c>
      <c r="H38" s="17"/>
    </row>
    <row r="39" spans="1:14" x14ac:dyDescent="0.25">
      <c r="A39" s="27"/>
      <c r="B39" s="16"/>
      <c r="E39" s="1" t="s">
        <v>1</v>
      </c>
      <c r="F39" s="7">
        <v>1</v>
      </c>
      <c r="G39" s="7">
        <v>9</v>
      </c>
      <c r="H39" s="19"/>
    </row>
    <row r="40" spans="1:14" x14ac:dyDescent="0.25">
      <c r="A40" s="28"/>
      <c r="B40" s="20"/>
      <c r="C40" s="21"/>
      <c r="D40" s="21"/>
      <c r="E40" s="21" t="s">
        <v>2</v>
      </c>
      <c r="F40" s="22"/>
      <c r="G40" s="22"/>
      <c r="H40" s="23">
        <v>10</v>
      </c>
    </row>
    <row r="42" spans="1:14" ht="15.6" customHeight="1" x14ac:dyDescent="0.25">
      <c r="A42" s="32" t="s">
        <v>47</v>
      </c>
      <c r="B42" s="10" t="s">
        <v>7</v>
      </c>
      <c r="C42" s="44" t="s">
        <v>14</v>
      </c>
      <c r="D42" s="41" t="s">
        <v>34</v>
      </c>
      <c r="E42" s="41" t="s">
        <v>35</v>
      </c>
      <c r="F42" s="41" t="s">
        <v>36</v>
      </c>
      <c r="G42" s="44" t="s">
        <v>21</v>
      </c>
      <c r="H42" s="44" t="s">
        <v>39</v>
      </c>
      <c r="I42" s="44" t="s">
        <v>41</v>
      </c>
      <c r="J42" s="44" t="s">
        <v>23</v>
      </c>
      <c r="K42" s="44" t="s">
        <v>24</v>
      </c>
      <c r="L42" s="44" t="s">
        <v>28</v>
      </c>
      <c r="M42" s="44" t="s">
        <v>25</v>
      </c>
      <c r="N42" s="47" t="s">
        <v>27</v>
      </c>
    </row>
    <row r="43" spans="1:14" ht="66" x14ac:dyDescent="0.25">
      <c r="A43" s="33"/>
      <c r="B43" s="11" t="s">
        <v>51</v>
      </c>
      <c r="C43" s="45"/>
      <c r="D43" s="42"/>
      <c r="E43" s="42"/>
      <c r="F43" s="42"/>
      <c r="G43" s="45"/>
      <c r="H43" s="45"/>
      <c r="I43" s="45"/>
      <c r="J43" s="45"/>
      <c r="K43" s="45"/>
      <c r="L43" s="45"/>
      <c r="M43" s="45"/>
      <c r="N43" s="48"/>
    </row>
    <row r="44" spans="1:14" ht="66" x14ac:dyDescent="0.25">
      <c r="A44" s="33"/>
      <c r="B44" s="12" t="s">
        <v>52</v>
      </c>
      <c r="C44" s="46"/>
      <c r="D44" s="43"/>
      <c r="E44" s="43"/>
      <c r="F44" s="43"/>
      <c r="G44" s="46"/>
      <c r="H44" s="46"/>
      <c r="I44" s="46"/>
      <c r="J44" s="46"/>
      <c r="K44" s="46"/>
      <c r="L44" s="46"/>
      <c r="M44" s="46"/>
      <c r="N44" s="49"/>
    </row>
    <row r="45" spans="1:14" ht="79.2" x14ac:dyDescent="0.25">
      <c r="A45" s="27"/>
      <c r="B45" s="10" t="s">
        <v>8</v>
      </c>
      <c r="C45" s="13" t="s">
        <v>17</v>
      </c>
      <c r="D45" s="14"/>
      <c r="E45" s="14"/>
      <c r="F45" s="14"/>
      <c r="G45" s="14"/>
      <c r="H45" s="14"/>
      <c r="I45" s="14"/>
      <c r="J45" s="15"/>
    </row>
    <row r="46" spans="1:14" x14ac:dyDescent="0.25">
      <c r="A46" s="27"/>
      <c r="B46" s="16"/>
      <c r="C46" s="1" t="s">
        <v>9</v>
      </c>
      <c r="F46" s="1" t="s">
        <v>6</v>
      </c>
      <c r="J46" s="17"/>
      <c r="K46" s="1" t="s">
        <v>11</v>
      </c>
      <c r="L46" s="1">
        <v>50</v>
      </c>
    </row>
    <row r="47" spans="1:14" x14ac:dyDescent="0.25">
      <c r="A47" s="27"/>
      <c r="B47" s="16"/>
      <c r="F47" s="3" t="s">
        <v>0</v>
      </c>
      <c r="G47" s="3" t="s">
        <v>1</v>
      </c>
      <c r="H47" s="3" t="s">
        <v>2</v>
      </c>
      <c r="I47" s="3" t="s">
        <v>3</v>
      </c>
      <c r="J47" s="18" t="s">
        <v>4</v>
      </c>
      <c r="K47" s="1" t="s">
        <v>12</v>
      </c>
      <c r="L47" s="4">
        <f>(L46/50)*100</f>
        <v>100</v>
      </c>
    </row>
    <row r="48" spans="1:14" x14ac:dyDescent="0.25">
      <c r="A48" s="27"/>
      <c r="B48" s="16"/>
      <c r="D48" s="1" t="s">
        <v>5</v>
      </c>
      <c r="E48" s="1" t="s">
        <v>0</v>
      </c>
      <c r="F48" s="1">
        <v>10</v>
      </c>
      <c r="J48" s="17"/>
    </row>
    <row r="49" spans="1:20" x14ac:dyDescent="0.25">
      <c r="A49" s="27"/>
      <c r="B49" s="16"/>
      <c r="E49" s="1" t="s">
        <v>1</v>
      </c>
      <c r="G49" s="1">
        <v>10</v>
      </c>
      <c r="J49" s="17"/>
    </row>
    <row r="50" spans="1:20" x14ac:dyDescent="0.25">
      <c r="A50" s="27"/>
      <c r="B50" s="16"/>
      <c r="E50" s="1" t="s">
        <v>2</v>
      </c>
      <c r="H50" s="1">
        <v>10</v>
      </c>
      <c r="J50" s="17"/>
    </row>
    <row r="51" spans="1:20" x14ac:dyDescent="0.25">
      <c r="A51" s="27"/>
      <c r="B51" s="16"/>
      <c r="D51" s="6"/>
      <c r="E51" s="1" t="s">
        <v>3</v>
      </c>
      <c r="I51" s="1">
        <v>10</v>
      </c>
      <c r="J51" s="17"/>
    </row>
    <row r="52" spans="1:20" x14ac:dyDescent="0.25">
      <c r="A52" s="27"/>
      <c r="B52" s="16"/>
      <c r="E52" s="1" t="s">
        <v>4</v>
      </c>
      <c r="J52" s="17">
        <v>10</v>
      </c>
    </row>
    <row r="53" spans="1:20" x14ac:dyDescent="0.25">
      <c r="A53" s="27"/>
      <c r="B53" s="16"/>
      <c r="J53" s="17"/>
    </row>
    <row r="54" spans="1:20" x14ac:dyDescent="0.25">
      <c r="A54" s="27"/>
      <c r="B54" s="16"/>
      <c r="J54" s="17"/>
    </row>
    <row r="55" spans="1:20" x14ac:dyDescent="0.25">
      <c r="A55" s="27"/>
      <c r="B55" s="16"/>
      <c r="C55" s="1" t="s">
        <v>10</v>
      </c>
      <c r="F55" s="7" t="s">
        <v>6</v>
      </c>
      <c r="G55" s="7"/>
      <c r="H55" s="7"/>
      <c r="I55" s="7"/>
      <c r="J55" s="19"/>
      <c r="K55" s="1" t="s">
        <v>11</v>
      </c>
      <c r="L55" s="1">
        <v>45</v>
      </c>
    </row>
    <row r="56" spans="1:20" x14ac:dyDescent="0.25">
      <c r="A56" s="27"/>
      <c r="B56" s="16"/>
      <c r="F56" s="8" t="s">
        <v>0</v>
      </c>
      <c r="G56" s="8" t="s">
        <v>1</v>
      </c>
      <c r="H56" s="8" t="s">
        <v>2</v>
      </c>
      <c r="I56" s="8" t="s">
        <v>3</v>
      </c>
      <c r="J56" s="30" t="s">
        <v>4</v>
      </c>
      <c r="K56" s="1" t="s">
        <v>12</v>
      </c>
      <c r="L56" s="4">
        <f>(L55/50)*100</f>
        <v>90</v>
      </c>
    </row>
    <row r="57" spans="1:20" x14ac:dyDescent="0.25">
      <c r="A57" s="27"/>
      <c r="B57" s="16"/>
      <c r="D57" s="1" t="s">
        <v>5</v>
      </c>
      <c r="E57" s="1" t="s">
        <v>0</v>
      </c>
      <c r="F57" s="7">
        <v>10</v>
      </c>
      <c r="G57" s="7"/>
      <c r="H57" s="7"/>
      <c r="I57" s="7"/>
      <c r="J57" s="19"/>
    </row>
    <row r="58" spans="1:20" x14ac:dyDescent="0.25">
      <c r="A58" s="27"/>
      <c r="B58" s="16"/>
      <c r="E58" s="1" t="s">
        <v>1</v>
      </c>
      <c r="F58" s="7">
        <v>1</v>
      </c>
      <c r="G58" s="7">
        <v>8</v>
      </c>
      <c r="H58" s="7">
        <v>1</v>
      </c>
      <c r="I58" s="7"/>
      <c r="J58" s="19"/>
    </row>
    <row r="59" spans="1:20" x14ac:dyDescent="0.25">
      <c r="A59" s="27"/>
      <c r="B59" s="16"/>
      <c r="E59" s="1" t="s">
        <v>2</v>
      </c>
      <c r="F59" s="7"/>
      <c r="G59" s="7">
        <v>1</v>
      </c>
      <c r="H59" s="7">
        <v>9</v>
      </c>
      <c r="I59" s="7"/>
      <c r="J59" s="19"/>
    </row>
    <row r="60" spans="1:20" x14ac:dyDescent="0.25">
      <c r="A60" s="27"/>
      <c r="B60" s="16"/>
      <c r="D60" s="6"/>
      <c r="E60" s="1" t="s">
        <v>3</v>
      </c>
      <c r="F60" s="7"/>
      <c r="G60" s="7"/>
      <c r="H60" s="7"/>
      <c r="I60" s="7">
        <v>10</v>
      </c>
      <c r="J60" s="19"/>
    </row>
    <row r="61" spans="1:20" x14ac:dyDescent="0.25">
      <c r="A61" s="28"/>
      <c r="B61" s="20"/>
      <c r="C61" s="21"/>
      <c r="D61" s="21"/>
      <c r="E61" s="21" t="s">
        <v>4</v>
      </c>
      <c r="F61" s="22"/>
      <c r="G61" s="22"/>
      <c r="H61" s="22"/>
      <c r="I61" s="22">
        <v>2</v>
      </c>
      <c r="J61" s="23">
        <v>8</v>
      </c>
    </row>
    <row r="63" spans="1:20" ht="15.6" customHeight="1" x14ac:dyDescent="0.25">
      <c r="A63" s="32" t="s">
        <v>48</v>
      </c>
      <c r="B63" s="14" t="s">
        <v>7</v>
      </c>
      <c r="C63" s="44" t="s">
        <v>19</v>
      </c>
      <c r="D63" s="50" t="s">
        <v>34</v>
      </c>
      <c r="E63" s="50" t="s">
        <v>35</v>
      </c>
      <c r="F63" s="44" t="s">
        <v>43</v>
      </c>
      <c r="G63" s="44" t="s">
        <v>37</v>
      </c>
      <c r="H63" s="44" t="s">
        <v>44</v>
      </c>
      <c r="I63" s="44" t="s">
        <v>21</v>
      </c>
      <c r="J63" s="50" t="s">
        <v>22</v>
      </c>
      <c r="K63" s="50" t="s">
        <v>24</v>
      </c>
      <c r="L63" s="50" t="s">
        <v>29</v>
      </c>
      <c r="M63" s="50" t="s">
        <v>30</v>
      </c>
      <c r="N63" s="50" t="s">
        <v>31</v>
      </c>
      <c r="O63" s="50" t="s">
        <v>41</v>
      </c>
      <c r="P63" s="50" t="s">
        <v>27</v>
      </c>
      <c r="Q63" s="50" t="s">
        <v>32</v>
      </c>
      <c r="R63" s="50" t="s">
        <v>28</v>
      </c>
      <c r="S63" s="50" t="s">
        <v>33</v>
      </c>
      <c r="T63" s="53" t="s">
        <v>49</v>
      </c>
    </row>
    <row r="64" spans="1:20" ht="66" x14ac:dyDescent="0.25">
      <c r="A64" s="33"/>
      <c r="B64" s="29" t="s">
        <v>51</v>
      </c>
      <c r="C64" s="45"/>
      <c r="D64" s="51"/>
      <c r="E64" s="51"/>
      <c r="F64" s="45"/>
      <c r="G64" s="45"/>
      <c r="H64" s="45"/>
      <c r="I64" s="45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4"/>
    </row>
    <row r="65" spans="1:20" ht="66" x14ac:dyDescent="0.25">
      <c r="A65" s="33"/>
      <c r="B65" s="34" t="s">
        <v>52</v>
      </c>
      <c r="C65" s="46"/>
      <c r="D65" s="52"/>
      <c r="E65" s="52"/>
      <c r="F65" s="46"/>
      <c r="G65" s="46"/>
      <c r="H65" s="46"/>
      <c r="I65" s="46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5"/>
    </row>
    <row r="66" spans="1:20" ht="79.2" x14ac:dyDescent="0.25">
      <c r="A66" s="27"/>
      <c r="B66" s="10" t="s">
        <v>8</v>
      </c>
      <c r="C66" s="13" t="s">
        <v>13</v>
      </c>
      <c r="D66" s="14"/>
      <c r="E66" s="14"/>
      <c r="F66" s="14"/>
      <c r="G66" s="14"/>
      <c r="H66" s="14"/>
      <c r="I66" s="14"/>
      <c r="J66" s="15"/>
    </row>
    <row r="67" spans="1:20" x14ac:dyDescent="0.25">
      <c r="A67" s="27"/>
      <c r="B67" s="16"/>
      <c r="C67" s="1" t="s">
        <v>9</v>
      </c>
      <c r="F67" s="1" t="s">
        <v>6</v>
      </c>
      <c r="J67" s="17"/>
      <c r="K67" s="1" t="s">
        <v>11</v>
      </c>
      <c r="L67" s="1">
        <v>50</v>
      </c>
    </row>
    <row r="68" spans="1:20" x14ac:dyDescent="0.25">
      <c r="A68" s="27"/>
      <c r="B68" s="16"/>
      <c r="F68" s="3" t="s">
        <v>0</v>
      </c>
      <c r="G68" s="3" t="s">
        <v>1</v>
      </c>
      <c r="H68" s="3" t="s">
        <v>2</v>
      </c>
      <c r="I68" s="3" t="s">
        <v>3</v>
      </c>
      <c r="J68" s="18" t="s">
        <v>4</v>
      </c>
      <c r="K68" s="1" t="s">
        <v>12</v>
      </c>
      <c r="L68" s="4">
        <f>(L67/50)*100</f>
        <v>100</v>
      </c>
    </row>
    <row r="69" spans="1:20" x14ac:dyDescent="0.25">
      <c r="A69" s="27"/>
      <c r="B69" s="16"/>
      <c r="D69" s="1" t="s">
        <v>5</v>
      </c>
      <c r="E69" s="1" t="s">
        <v>0</v>
      </c>
      <c r="F69" s="1">
        <v>10</v>
      </c>
      <c r="J69" s="17"/>
    </row>
    <row r="70" spans="1:20" x14ac:dyDescent="0.25">
      <c r="A70" s="27"/>
      <c r="B70" s="16"/>
      <c r="E70" s="1" t="s">
        <v>1</v>
      </c>
      <c r="G70" s="1">
        <v>10</v>
      </c>
      <c r="J70" s="17"/>
    </row>
    <row r="71" spans="1:20" x14ac:dyDescent="0.25">
      <c r="A71" s="27"/>
      <c r="B71" s="16"/>
      <c r="E71" s="1" t="s">
        <v>2</v>
      </c>
      <c r="H71" s="1">
        <v>10</v>
      </c>
      <c r="J71" s="17"/>
    </row>
    <row r="72" spans="1:20" x14ac:dyDescent="0.25">
      <c r="A72" s="27"/>
      <c r="B72" s="16"/>
      <c r="D72" s="6"/>
      <c r="E72" s="1" t="s">
        <v>3</v>
      </c>
      <c r="I72" s="1">
        <v>10</v>
      </c>
      <c r="J72" s="17"/>
    </row>
    <row r="73" spans="1:20" x14ac:dyDescent="0.25">
      <c r="A73" s="27"/>
      <c r="B73" s="16"/>
      <c r="E73" s="1" t="s">
        <v>4</v>
      </c>
      <c r="J73" s="17">
        <v>10</v>
      </c>
    </row>
    <row r="74" spans="1:20" x14ac:dyDescent="0.25">
      <c r="A74" s="27"/>
      <c r="B74" s="16"/>
      <c r="J74" s="17"/>
    </row>
    <row r="75" spans="1:20" x14ac:dyDescent="0.25">
      <c r="A75" s="27"/>
      <c r="B75" s="16"/>
      <c r="J75" s="17"/>
    </row>
    <row r="76" spans="1:20" x14ac:dyDescent="0.25">
      <c r="A76" s="27"/>
      <c r="B76" s="16"/>
      <c r="C76" s="1" t="s">
        <v>10</v>
      </c>
      <c r="F76" s="1" t="s">
        <v>6</v>
      </c>
      <c r="J76" s="17"/>
      <c r="K76" s="1" t="s">
        <v>11</v>
      </c>
      <c r="L76" s="1">
        <v>47</v>
      </c>
    </row>
    <row r="77" spans="1:20" x14ac:dyDescent="0.25">
      <c r="A77" s="27"/>
      <c r="B77" s="16"/>
      <c r="E77" s="7"/>
      <c r="F77" s="8" t="s">
        <v>0</v>
      </c>
      <c r="G77" s="8" t="s">
        <v>1</v>
      </c>
      <c r="H77" s="8" t="s">
        <v>2</v>
      </c>
      <c r="I77" s="8" t="s">
        <v>3</v>
      </c>
      <c r="J77" s="30" t="s">
        <v>4</v>
      </c>
      <c r="K77" s="1" t="s">
        <v>12</v>
      </c>
      <c r="L77" s="4">
        <f>(L76/50)*100</f>
        <v>94</v>
      </c>
    </row>
    <row r="78" spans="1:20" x14ac:dyDescent="0.25">
      <c r="A78" s="27"/>
      <c r="B78" s="16"/>
      <c r="D78" s="1" t="s">
        <v>5</v>
      </c>
      <c r="E78" s="7" t="s">
        <v>0</v>
      </c>
      <c r="F78" s="7">
        <v>10</v>
      </c>
      <c r="G78" s="7"/>
      <c r="H78" s="7"/>
      <c r="I78" s="7"/>
      <c r="J78" s="19"/>
    </row>
    <row r="79" spans="1:20" x14ac:dyDescent="0.25">
      <c r="A79" s="27"/>
      <c r="B79" s="16"/>
      <c r="E79" s="7" t="s">
        <v>1</v>
      </c>
      <c r="F79" s="7"/>
      <c r="G79" s="7">
        <v>9</v>
      </c>
      <c r="H79" s="7">
        <v>1</v>
      </c>
      <c r="I79" s="7"/>
      <c r="J79" s="19"/>
    </row>
    <row r="80" spans="1:20" x14ac:dyDescent="0.25">
      <c r="A80" s="27"/>
      <c r="B80" s="16"/>
      <c r="E80" s="7" t="s">
        <v>2</v>
      </c>
      <c r="F80" s="7"/>
      <c r="G80" s="7"/>
      <c r="H80" s="7">
        <v>10</v>
      </c>
      <c r="I80" s="7"/>
      <c r="J80" s="19"/>
    </row>
    <row r="81" spans="1:10" x14ac:dyDescent="0.25">
      <c r="A81" s="27"/>
      <c r="B81" s="16"/>
      <c r="D81" s="6"/>
      <c r="E81" s="7" t="s">
        <v>3</v>
      </c>
      <c r="F81" s="7"/>
      <c r="G81" s="7"/>
      <c r="H81" s="7">
        <v>2</v>
      </c>
      <c r="I81" s="7">
        <v>8</v>
      </c>
      <c r="J81" s="19"/>
    </row>
    <row r="82" spans="1:10" x14ac:dyDescent="0.25">
      <c r="A82" s="28"/>
      <c r="B82" s="20"/>
      <c r="C82" s="21"/>
      <c r="D82" s="21"/>
      <c r="E82" s="22" t="s">
        <v>4</v>
      </c>
      <c r="F82" s="22"/>
      <c r="G82" s="22"/>
      <c r="H82" s="22"/>
      <c r="I82" s="22"/>
      <c r="J82" s="23">
        <v>10</v>
      </c>
    </row>
    <row r="83" spans="1:10" x14ac:dyDescent="0.25">
      <c r="E83" s="7"/>
      <c r="F83" s="7"/>
      <c r="G83" s="7"/>
      <c r="H83" s="7"/>
      <c r="I83" s="7"/>
      <c r="J83" s="7"/>
    </row>
  </sheetData>
  <mergeCells count="53">
    <mergeCell ref="T63:T65"/>
    <mergeCell ref="O63:O65"/>
    <mergeCell ref="P63:P65"/>
    <mergeCell ref="Q63:Q65"/>
    <mergeCell ref="R63:R65"/>
    <mergeCell ref="S63:S65"/>
    <mergeCell ref="M42:M44"/>
    <mergeCell ref="N42:N44"/>
    <mergeCell ref="C63:C65"/>
    <mergeCell ref="D63:D65"/>
    <mergeCell ref="E63:E65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H42:H44"/>
    <mergeCell ref="I42:I44"/>
    <mergeCell ref="J42:J44"/>
    <mergeCell ref="K42:K44"/>
    <mergeCell ref="L42:L44"/>
    <mergeCell ref="C42:C44"/>
    <mergeCell ref="D42:D44"/>
    <mergeCell ref="E42:E44"/>
    <mergeCell ref="G42:G44"/>
    <mergeCell ref="F42:F44"/>
    <mergeCell ref="O2:O4"/>
    <mergeCell ref="P2:P4"/>
    <mergeCell ref="Q2:Q4"/>
    <mergeCell ref="R2:R4"/>
    <mergeCell ref="C25:C27"/>
    <mergeCell ref="D25:D27"/>
    <mergeCell ref="E25:E27"/>
    <mergeCell ref="F25:F27"/>
    <mergeCell ref="G25:G27"/>
    <mergeCell ref="H25:H27"/>
    <mergeCell ref="J2:J4"/>
    <mergeCell ref="K2:K4"/>
    <mergeCell ref="L2:L4"/>
    <mergeCell ref="M2:M4"/>
    <mergeCell ref="N2:N4"/>
    <mergeCell ref="A1:I1"/>
    <mergeCell ref="C2:C4"/>
    <mergeCell ref="D2:D4"/>
    <mergeCell ref="E2:E4"/>
    <mergeCell ref="F2:F4"/>
    <mergeCell ref="G2:G4"/>
    <mergeCell ref="H2:H4"/>
    <mergeCell ref="I2:I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ST5</vt:lpstr>
    </vt:vector>
  </TitlesOfParts>
  <Company>Faculty of Agriculture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Zlatko</dc:creator>
  <cp:lastModifiedBy>Admin</cp:lastModifiedBy>
  <cp:lastPrinted>2020-07-06T09:01:33Z</cp:lastPrinted>
  <dcterms:created xsi:type="dcterms:W3CDTF">2013-02-13T10:23:58Z</dcterms:created>
  <dcterms:modified xsi:type="dcterms:W3CDTF">2021-01-08T11:54:25Z</dcterms:modified>
</cp:coreProperties>
</file>