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osiljak-soli_2020\zlatko popravljeno\basil_supplementary files\"/>
    </mc:Choice>
  </mc:AlternateContent>
  <xr:revisionPtr revIDLastSave="0" documentId="13_ncr:1_{414A1438-565F-40E2-BBFF-A3FC6CCCB49F}" xr6:coauthVersionLast="45" xr6:coauthVersionMax="45" xr10:uidLastSave="{00000000-0000-0000-0000-000000000000}"/>
  <bookViews>
    <workbookView xWindow="-108" yWindow="-108" windowWidth="23256" windowHeight="12576" tabRatio="975" xr2:uid="{436ECBD1-C30B-46C0-A666-B74A4743E42F}"/>
  </bookViews>
  <sheets>
    <sheet name="ST1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" i="10" l="1"/>
  <c r="M4" i="10"/>
  <c r="M5" i="10"/>
  <c r="M6" i="10"/>
  <c r="M7" i="10"/>
  <c r="M8" i="10" l="1"/>
  <c r="H35" i="10"/>
  <c r="H34" i="10"/>
  <c r="H25" i="10"/>
  <c r="H24" i="10"/>
  <c r="H23" i="10"/>
  <c r="H10" i="10"/>
  <c r="H9" i="10"/>
  <c r="H8" i="10"/>
  <c r="H7" i="10"/>
  <c r="H6" i="10"/>
  <c r="H5" i="10"/>
  <c r="H21" i="10"/>
  <c r="H4" i="10"/>
  <c r="H22" i="10"/>
  <c r="H3" i="10"/>
  <c r="H20" i="10"/>
  <c r="H19" i="10"/>
  <c r="H15" i="10"/>
  <c r="H14" i="10"/>
  <c r="H18" i="10"/>
  <c r="H17" i="10"/>
  <c r="H16" i="10"/>
  <c r="H13" i="10"/>
  <c r="H12" i="10"/>
  <c r="H11" i="10"/>
  <c r="H33" i="10"/>
  <c r="H32" i="10"/>
  <c r="H31" i="10"/>
  <c r="H30" i="10"/>
  <c r="H29" i="10"/>
  <c r="H28" i="10"/>
  <c r="H27" i="10"/>
  <c r="H26" i="10"/>
</calcChain>
</file>

<file path=xl/sharedStrings.xml><?xml version="1.0" encoding="utf-8"?>
<sst xmlns="http://schemas.openxmlformats.org/spreadsheetml/2006/main" count="92" uniqueCount="54">
  <si>
    <t>Trait</t>
  </si>
  <si>
    <t>1_UN</t>
  </si>
  <si>
    <t>2_VC</t>
  </si>
  <si>
    <t>3_CS</t>
  </si>
  <si>
    <t>4_AR</t>
  </si>
  <si>
    <t>5_TO</t>
  </si>
  <si>
    <t>Best model</t>
  </si>
  <si>
    <t>1. Unstructured (UN)</t>
  </si>
  <si>
    <t>2. Simple; Variance components (VC)</t>
  </si>
  <si>
    <t>3. Compound Symmetric (CS)</t>
  </si>
  <si>
    <t>4. First order autoregressive (AR(1))</t>
  </si>
  <si>
    <t>5. Toeplitz (TOEP)</t>
  </si>
  <si>
    <t>Bias-corrected small sample AIC</t>
  </si>
  <si>
    <t>ETR</t>
  </si>
  <si>
    <t>NPQ</t>
  </si>
  <si>
    <t>SAT</t>
  </si>
  <si>
    <t>CHI</t>
  </si>
  <si>
    <t>ARI</t>
  </si>
  <si>
    <t>DB</t>
  </si>
  <si>
    <t>GI</t>
  </si>
  <si>
    <t>PH</t>
  </si>
  <si>
    <t>LANG</t>
  </si>
  <si>
    <t>TLA</t>
  </si>
  <si>
    <t>LAI</t>
  </si>
  <si>
    <t>LAP</t>
  </si>
  <si>
    <t>LINC</t>
  </si>
  <si>
    <t>LPD</t>
  </si>
  <si>
    <t>NDVI</t>
  </si>
  <si>
    <t>NPCI</t>
  </si>
  <si>
    <t>PSRI</t>
  </si>
  <si>
    <t>VAL</t>
  </si>
  <si>
    <t>VWC</t>
  </si>
  <si>
    <t>EC</t>
  </si>
  <si>
    <r>
      <t>R</t>
    </r>
    <r>
      <rPr>
        <vertAlign val="subscript"/>
        <sz val="10"/>
        <rFont val="Arial"/>
        <family val="2"/>
      </rPr>
      <t>Red</t>
    </r>
  </si>
  <si>
    <r>
      <t>R</t>
    </r>
    <r>
      <rPr>
        <vertAlign val="subscript"/>
        <sz val="10"/>
        <rFont val="Arial"/>
        <family val="2"/>
      </rPr>
      <t>Green</t>
    </r>
  </si>
  <si>
    <r>
      <t>R</t>
    </r>
    <r>
      <rPr>
        <vertAlign val="subscript"/>
        <sz val="10"/>
        <rFont val="Arial"/>
        <family val="2"/>
      </rPr>
      <t>Blue</t>
    </r>
  </si>
  <si>
    <r>
      <t>R</t>
    </r>
    <r>
      <rPr>
        <vertAlign val="subscript"/>
        <sz val="10"/>
        <rFont val="Arial"/>
        <family val="2"/>
      </rPr>
      <t>FarRed</t>
    </r>
  </si>
  <si>
    <r>
      <t>R</t>
    </r>
    <r>
      <rPr>
        <vertAlign val="subscript"/>
        <sz val="10"/>
        <rFont val="Arial"/>
        <family val="2"/>
      </rPr>
      <t>NIR</t>
    </r>
  </si>
  <si>
    <r>
      <t>HUE</t>
    </r>
    <r>
      <rPr>
        <vertAlign val="subscript"/>
        <sz val="10"/>
        <rFont val="Arial"/>
        <family val="2"/>
      </rPr>
      <t>2D</t>
    </r>
  </si>
  <si>
    <r>
      <t>HUE</t>
    </r>
    <r>
      <rPr>
        <vertAlign val="subscript"/>
        <sz val="10"/>
        <rFont val="Arial"/>
        <family val="2"/>
      </rPr>
      <t>3D</t>
    </r>
  </si>
  <si>
    <r>
      <t>F</t>
    </r>
    <r>
      <rPr>
        <vertAlign val="subscript"/>
        <sz val="10"/>
        <rFont val="Arial"/>
        <family val="2"/>
      </rPr>
      <t>0</t>
    </r>
  </si>
  <si>
    <r>
      <t>F</t>
    </r>
    <r>
      <rPr>
        <vertAlign val="subscript"/>
        <sz val="10"/>
        <rFont val="Arial"/>
        <family val="2"/>
      </rPr>
      <t>m</t>
    </r>
  </si>
  <si>
    <r>
      <t>F</t>
    </r>
    <r>
      <rPr>
        <vertAlign val="subscript"/>
        <sz val="10"/>
        <rFont val="Arial"/>
        <family val="2"/>
      </rPr>
      <t>v</t>
    </r>
    <r>
      <rPr>
        <sz val="10"/>
        <rFont val="Arial"/>
        <family val="2"/>
      </rPr>
      <t>/F</t>
    </r>
    <r>
      <rPr>
        <vertAlign val="subscript"/>
        <sz val="10"/>
        <rFont val="Arial"/>
        <family val="2"/>
      </rPr>
      <t>m</t>
    </r>
  </si>
  <si>
    <r>
      <t>F</t>
    </r>
    <r>
      <rPr>
        <vertAlign val="subscript"/>
        <sz val="10"/>
        <rFont val="Arial"/>
        <family val="2"/>
      </rPr>
      <t>s'</t>
    </r>
  </si>
  <si>
    <r>
      <t>F</t>
    </r>
    <r>
      <rPr>
        <vertAlign val="subscript"/>
        <sz val="10"/>
        <rFont val="Arial"/>
        <family val="2"/>
      </rPr>
      <t>m'</t>
    </r>
  </si>
  <si>
    <r>
      <t>F</t>
    </r>
    <r>
      <rPr>
        <vertAlign val="subscript"/>
        <sz val="10"/>
        <rFont val="Arial"/>
        <family val="2"/>
      </rPr>
      <t>q'</t>
    </r>
    <r>
      <rPr>
        <sz val="10"/>
        <rFont val="Arial"/>
        <family val="2"/>
      </rPr>
      <t>/F</t>
    </r>
    <r>
      <rPr>
        <vertAlign val="subscript"/>
        <sz val="10"/>
        <rFont val="Arial"/>
        <family val="2"/>
      </rPr>
      <t>m'</t>
    </r>
  </si>
  <si>
    <t>No.</t>
  </si>
  <si>
    <t>Total</t>
  </si>
  <si>
    <t>Abbr.</t>
  </si>
  <si>
    <t>No. of variables</t>
  </si>
  <si>
    <t>Covariance matrix structure</t>
  </si>
  <si>
    <t>Min AICc</t>
  </si>
  <si>
    <t>AICc</t>
  </si>
  <si>
    <r>
      <rPr>
        <b/>
        <sz val="10"/>
        <color theme="1"/>
        <rFont val="Arial"/>
        <family val="2"/>
      </rPr>
      <t xml:space="preserve">Supplementary Table 1. </t>
    </r>
    <r>
      <rPr>
        <sz val="10"/>
        <color theme="1"/>
        <rFont val="Arial"/>
        <family val="2"/>
      </rPr>
      <t>The choice of the optimal model of covariance structure used in the analysis of variance (ANOVA) with repeated measures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</si>
</sst>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theme="1"/>
      <name val="Courier New"/>
      <family val="2"/>
    </font>
    <font>
      <sz val="10"/>
      <name val="Arial"/>
      <charset val="238"/>
    </font>
    <font>
      <sz val="10"/>
      <color theme="1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64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1" applyFont="1" applyBorder="1" applyAlignment="1">
      <alignment vertical="center"/>
    </xf>
    <xf numFmtId="0" fontId="2" fillId="0" borderId="0" xfId="0" applyFont="1" applyAlignment="1">
      <alignment horizontal="left" vertical="center"/>
    </xf>
  </cellXfs>
  <cellStyles count="2">
    <cellStyle name="Normalno" xfId="0" builtinId="0"/>
    <cellStyle name="Normalno 3" xfId="1" xr:uid="{C2AB6E3D-4A05-462F-944C-C1A2B8853DE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CA91-9D21-4401-A156-53CF5577C368}">
  <dimension ref="A1:M70"/>
  <sheetViews>
    <sheetView tabSelected="1" workbookViewId="0">
      <selection activeCell="L15" sqref="L15"/>
    </sheetView>
  </sheetViews>
  <sheetFormatPr defaultColWidth="9" defaultRowHeight="16.5" customHeight="1" x14ac:dyDescent="0.3"/>
  <cols>
    <col min="1" max="1" width="6.59765625" style="4" bestFit="1" customWidth="1"/>
    <col min="2" max="2" width="5.8984375" style="4" bestFit="1" customWidth="1"/>
    <col min="3" max="7" width="7.8984375" style="4" bestFit="1" customWidth="1"/>
    <col min="8" max="8" width="9" style="4"/>
    <col min="9" max="9" width="10.8984375" style="4" bestFit="1" customWidth="1"/>
    <col min="10" max="10" width="9" style="4"/>
    <col min="11" max="11" width="32.5" style="3" bestFit="1" customWidth="1"/>
    <col min="12" max="12" width="9" style="4"/>
    <col min="13" max="13" width="11.8984375" style="4" bestFit="1" customWidth="1"/>
    <col min="14" max="14" width="9" style="4"/>
    <col min="15" max="15" width="11.8984375" style="4" bestFit="1" customWidth="1"/>
    <col min="16" max="16384" width="9" style="4"/>
  </cols>
  <sheetData>
    <row r="1" spans="1:13" ht="16.5" customHeight="1" x14ac:dyDescent="0.3">
      <c r="A1" s="10" t="s">
        <v>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6.5" customHeight="1" x14ac:dyDescent="0.3">
      <c r="A2" s="2" t="s">
        <v>46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51</v>
      </c>
      <c r="I2" s="2" t="s">
        <v>6</v>
      </c>
      <c r="K2" s="3" t="s">
        <v>50</v>
      </c>
      <c r="L2" s="4" t="s">
        <v>48</v>
      </c>
      <c r="M2" s="4" t="s">
        <v>49</v>
      </c>
    </row>
    <row r="3" spans="1:13" ht="16.5" customHeight="1" x14ac:dyDescent="0.3">
      <c r="A3" s="2">
        <v>1</v>
      </c>
      <c r="B3" s="1" t="s">
        <v>18</v>
      </c>
      <c r="C3" s="6">
        <v>5291.9</v>
      </c>
      <c r="D3" s="6">
        <v>5435.3</v>
      </c>
      <c r="E3" s="6">
        <v>5345.6</v>
      </c>
      <c r="F3" s="6">
        <v>5313.9</v>
      </c>
      <c r="G3" s="6">
        <v>5316.1</v>
      </c>
      <c r="H3" s="6">
        <f t="shared" ref="H3:H35" si="0">MIN(C3:G3)</f>
        <v>5291.9</v>
      </c>
      <c r="I3" s="2" t="s">
        <v>1</v>
      </c>
      <c r="K3" s="3" t="s">
        <v>7</v>
      </c>
      <c r="L3" s="4" t="s">
        <v>1</v>
      </c>
      <c r="M3" s="4">
        <f>COUNTIF($I$3:$I$35,L3)</f>
        <v>23</v>
      </c>
    </row>
    <row r="4" spans="1:13" ht="16.5" customHeight="1" x14ac:dyDescent="0.3">
      <c r="A4" s="2">
        <v>2</v>
      </c>
      <c r="B4" s="1" t="s">
        <v>20</v>
      </c>
      <c r="C4" s="6">
        <v>1422.6</v>
      </c>
      <c r="D4" s="6">
        <v>1665.2</v>
      </c>
      <c r="E4" s="6">
        <v>1512.9</v>
      </c>
      <c r="F4" s="6">
        <v>1436</v>
      </c>
      <c r="G4" s="6">
        <v>1419</v>
      </c>
      <c r="H4" s="6">
        <f t="shared" si="0"/>
        <v>1419</v>
      </c>
      <c r="I4" s="2" t="s">
        <v>5</v>
      </c>
      <c r="K4" s="3" t="s">
        <v>8</v>
      </c>
      <c r="L4" s="4" t="s">
        <v>2</v>
      </c>
      <c r="M4" s="4">
        <f>COUNTIF($I$3:$I$35,L4)</f>
        <v>0</v>
      </c>
    </row>
    <row r="5" spans="1:13" ht="16.5" customHeight="1" x14ac:dyDescent="0.3">
      <c r="A5" s="2">
        <v>3</v>
      </c>
      <c r="B5" s="1" t="s">
        <v>21</v>
      </c>
      <c r="C5" s="6">
        <v>757.9</v>
      </c>
      <c r="D5" s="6">
        <v>778.2</v>
      </c>
      <c r="E5" s="6">
        <v>758.6</v>
      </c>
      <c r="F5" s="6">
        <v>761.5</v>
      </c>
      <c r="G5" s="6">
        <v>760.9</v>
      </c>
      <c r="H5" s="6">
        <f t="shared" si="0"/>
        <v>757.9</v>
      </c>
      <c r="I5" s="2" t="s">
        <v>1</v>
      </c>
      <c r="K5" s="3" t="s">
        <v>9</v>
      </c>
      <c r="L5" s="4" t="s">
        <v>3</v>
      </c>
      <c r="M5" s="4">
        <f>COUNTIF($I$3:$I$35,L5)</f>
        <v>0</v>
      </c>
    </row>
    <row r="6" spans="1:13" ht="16.5" customHeight="1" x14ac:dyDescent="0.3">
      <c r="A6" s="2">
        <v>4</v>
      </c>
      <c r="B6" s="1" t="s">
        <v>22</v>
      </c>
      <c r="C6" s="6">
        <v>3278.1</v>
      </c>
      <c r="D6" s="6">
        <v>3386.1</v>
      </c>
      <c r="E6" s="6">
        <v>3293.5</v>
      </c>
      <c r="F6" s="6">
        <v>3281.4</v>
      </c>
      <c r="G6" s="6">
        <v>3283.5</v>
      </c>
      <c r="H6" s="6">
        <f t="shared" si="0"/>
        <v>3278.1</v>
      </c>
      <c r="I6" s="2" t="s">
        <v>1</v>
      </c>
      <c r="K6" s="3" t="s">
        <v>10</v>
      </c>
      <c r="L6" s="4" t="s">
        <v>4</v>
      </c>
      <c r="M6" s="4">
        <f>COUNTIF($I$3:$I$35,L6)</f>
        <v>6</v>
      </c>
    </row>
    <row r="7" spans="1:13" ht="16.5" customHeight="1" x14ac:dyDescent="0.3">
      <c r="A7" s="2">
        <v>5</v>
      </c>
      <c r="B7" s="1" t="s">
        <v>23</v>
      </c>
      <c r="C7" s="6">
        <v>-843.9</v>
      </c>
      <c r="D7" s="6">
        <v>-751.8</v>
      </c>
      <c r="E7" s="6">
        <v>-838.9</v>
      </c>
      <c r="F7" s="6">
        <v>-845.1</v>
      </c>
      <c r="G7" s="6">
        <v>-844.1</v>
      </c>
      <c r="H7" s="6">
        <f t="shared" si="0"/>
        <v>-845.1</v>
      </c>
      <c r="I7" s="2" t="s">
        <v>4</v>
      </c>
      <c r="K7" s="3" t="s">
        <v>11</v>
      </c>
      <c r="L7" s="4" t="s">
        <v>5</v>
      </c>
      <c r="M7" s="4">
        <f>COUNTIF($I$3:$I$35,L7)</f>
        <v>4</v>
      </c>
    </row>
    <row r="8" spans="1:13" ht="16.5" customHeight="1" x14ac:dyDescent="0.3">
      <c r="A8" s="2">
        <v>6</v>
      </c>
      <c r="B8" s="1" t="s">
        <v>24</v>
      </c>
      <c r="C8" s="6">
        <v>3080.1</v>
      </c>
      <c r="D8" s="6">
        <v>3193.6</v>
      </c>
      <c r="E8" s="6">
        <v>3101.8</v>
      </c>
      <c r="F8" s="6">
        <v>3081.2</v>
      </c>
      <c r="G8" s="6">
        <v>3085.2</v>
      </c>
      <c r="H8" s="6">
        <f t="shared" si="0"/>
        <v>3080.1</v>
      </c>
      <c r="I8" s="2" t="s">
        <v>1</v>
      </c>
      <c r="K8" s="3" t="s">
        <v>47</v>
      </c>
      <c r="M8" s="4">
        <f>SUM(M3:M7)</f>
        <v>33</v>
      </c>
    </row>
    <row r="9" spans="1:13" ht="16.5" customHeight="1" x14ac:dyDescent="0.3">
      <c r="A9" s="2">
        <v>7</v>
      </c>
      <c r="B9" s="1" t="s">
        <v>25</v>
      </c>
      <c r="C9" s="6">
        <v>-422.7</v>
      </c>
      <c r="D9" s="6">
        <v>-408</v>
      </c>
      <c r="E9" s="6">
        <v>-417.2</v>
      </c>
      <c r="F9" s="6">
        <v>-411.9</v>
      </c>
      <c r="G9" s="6">
        <v>-413.6</v>
      </c>
      <c r="H9" s="6">
        <f t="shared" si="0"/>
        <v>-422.7</v>
      </c>
      <c r="I9" s="2" t="s">
        <v>1</v>
      </c>
      <c r="K9" s="7"/>
    </row>
    <row r="10" spans="1:13" ht="16.5" customHeight="1" x14ac:dyDescent="0.3">
      <c r="A10" s="2">
        <v>8</v>
      </c>
      <c r="B10" s="1" t="s">
        <v>26</v>
      </c>
      <c r="C10" s="6">
        <v>1538.5</v>
      </c>
      <c r="D10" s="6">
        <v>1609.4</v>
      </c>
      <c r="E10" s="6">
        <v>1548.8</v>
      </c>
      <c r="F10" s="6">
        <v>1534.1</v>
      </c>
      <c r="G10" s="6">
        <v>1537.5</v>
      </c>
      <c r="H10" s="6">
        <f t="shared" si="0"/>
        <v>1534.1</v>
      </c>
      <c r="I10" s="2" t="s">
        <v>4</v>
      </c>
      <c r="K10" s="8" t="s">
        <v>12</v>
      </c>
      <c r="L10" s="2" t="s">
        <v>52</v>
      </c>
    </row>
    <row r="11" spans="1:13" ht="16.5" customHeight="1" x14ac:dyDescent="0.3">
      <c r="A11" s="2">
        <v>9</v>
      </c>
      <c r="B11" s="1" t="s">
        <v>33</v>
      </c>
      <c r="C11" s="6">
        <v>2396.8000000000002</v>
      </c>
      <c r="D11" s="6">
        <v>2534</v>
      </c>
      <c r="E11" s="6">
        <v>2518</v>
      </c>
      <c r="F11" s="6">
        <v>2505.6999999999998</v>
      </c>
      <c r="G11" s="6">
        <v>2506.9</v>
      </c>
      <c r="H11" s="6">
        <f t="shared" si="0"/>
        <v>2396.8000000000002</v>
      </c>
      <c r="I11" s="2" t="s">
        <v>1</v>
      </c>
      <c r="K11" s="9"/>
    </row>
    <row r="12" spans="1:13" ht="16.5" customHeight="1" x14ac:dyDescent="0.3">
      <c r="A12" s="2">
        <v>10</v>
      </c>
      <c r="B12" s="1" t="s">
        <v>34</v>
      </c>
      <c r="C12" s="6">
        <v>2458.5</v>
      </c>
      <c r="D12" s="6">
        <v>2573.1999999999998</v>
      </c>
      <c r="E12" s="6">
        <v>2544.1999999999998</v>
      </c>
      <c r="F12" s="6">
        <v>2519.3000000000002</v>
      </c>
      <c r="G12" s="6">
        <v>2518.6</v>
      </c>
      <c r="H12" s="6">
        <f t="shared" si="0"/>
        <v>2458.5</v>
      </c>
      <c r="I12" s="2" t="s">
        <v>1</v>
      </c>
      <c r="K12" s="9"/>
      <c r="M12" s="5"/>
    </row>
    <row r="13" spans="1:13" ht="16.5" customHeight="1" x14ac:dyDescent="0.3">
      <c r="A13" s="2">
        <v>11</v>
      </c>
      <c r="B13" s="1" t="s">
        <v>35</v>
      </c>
      <c r="C13" s="6">
        <v>2273.6999999999998</v>
      </c>
      <c r="D13" s="6">
        <v>2463</v>
      </c>
      <c r="E13" s="6">
        <v>2458.3000000000002</v>
      </c>
      <c r="F13" s="6">
        <v>2454.6</v>
      </c>
      <c r="G13" s="6">
        <v>2457.6999999999998</v>
      </c>
      <c r="H13" s="6">
        <f t="shared" si="0"/>
        <v>2273.6999999999998</v>
      </c>
      <c r="I13" s="2" t="s">
        <v>1</v>
      </c>
      <c r="K13" s="9"/>
    </row>
    <row r="14" spans="1:13" ht="16.5" customHeight="1" x14ac:dyDescent="0.3">
      <c r="A14" s="2">
        <v>12</v>
      </c>
      <c r="B14" s="1" t="s">
        <v>36</v>
      </c>
      <c r="C14" s="6">
        <v>2532.6</v>
      </c>
      <c r="D14" s="6">
        <v>2655.2</v>
      </c>
      <c r="E14" s="6">
        <v>2597.1</v>
      </c>
      <c r="F14" s="6">
        <v>2560.6999999999998</v>
      </c>
      <c r="G14" s="6">
        <v>2559.1</v>
      </c>
      <c r="H14" s="6">
        <f t="shared" si="0"/>
        <v>2532.6</v>
      </c>
      <c r="I14" s="2" t="s">
        <v>1</v>
      </c>
      <c r="K14" s="9"/>
    </row>
    <row r="15" spans="1:13" ht="16.5" customHeight="1" x14ac:dyDescent="0.3">
      <c r="A15" s="2">
        <v>13</v>
      </c>
      <c r="B15" s="1" t="s">
        <v>37</v>
      </c>
      <c r="C15" s="6">
        <v>2863.6</v>
      </c>
      <c r="D15" s="6">
        <v>2946.7</v>
      </c>
      <c r="E15" s="6">
        <v>2888.1</v>
      </c>
      <c r="F15" s="6">
        <v>2863.5</v>
      </c>
      <c r="G15" s="6">
        <v>2864.4</v>
      </c>
      <c r="H15" s="6">
        <f t="shared" si="0"/>
        <v>2863.5</v>
      </c>
      <c r="I15" s="2" t="s">
        <v>4</v>
      </c>
      <c r="K15" s="9"/>
    </row>
    <row r="16" spans="1:13" ht="16.5" customHeight="1" x14ac:dyDescent="0.3">
      <c r="A16" s="2">
        <v>14</v>
      </c>
      <c r="B16" s="1" t="s">
        <v>38</v>
      </c>
      <c r="C16" s="6">
        <v>514.1</v>
      </c>
      <c r="D16" s="6">
        <v>602.9</v>
      </c>
      <c r="E16" s="6">
        <v>559.70000000000005</v>
      </c>
      <c r="F16" s="6">
        <v>517.6</v>
      </c>
      <c r="G16" s="6">
        <v>514</v>
      </c>
      <c r="H16" s="6">
        <f t="shared" si="0"/>
        <v>514</v>
      </c>
      <c r="I16" s="2" t="s">
        <v>5</v>
      </c>
      <c r="K16" s="9"/>
    </row>
    <row r="17" spans="1:11" ht="16.5" customHeight="1" x14ac:dyDescent="0.3">
      <c r="A17" s="2">
        <v>15</v>
      </c>
      <c r="B17" s="1" t="s">
        <v>15</v>
      </c>
      <c r="C17" s="6">
        <v>-937.8</v>
      </c>
      <c r="D17" s="6">
        <v>-905.4</v>
      </c>
      <c r="E17" s="6">
        <v>-930.9</v>
      </c>
      <c r="F17" s="6">
        <v>-932.2</v>
      </c>
      <c r="G17" s="6">
        <v>-933.4</v>
      </c>
      <c r="H17" s="6">
        <f t="shared" si="0"/>
        <v>-937.8</v>
      </c>
      <c r="I17" s="2" t="s">
        <v>1</v>
      </c>
      <c r="K17" s="9"/>
    </row>
    <row r="18" spans="1:11" ht="16.5" customHeight="1" x14ac:dyDescent="0.3">
      <c r="A18" s="2">
        <v>16</v>
      </c>
      <c r="B18" s="1" t="s">
        <v>30</v>
      </c>
      <c r="C18" s="6">
        <v>-1538.3</v>
      </c>
      <c r="D18" s="6">
        <v>-1427.6</v>
      </c>
      <c r="E18" s="6">
        <v>-1456.7</v>
      </c>
      <c r="F18" s="6">
        <v>-1481.1</v>
      </c>
      <c r="G18" s="6">
        <v>-1481.3</v>
      </c>
      <c r="H18" s="6">
        <f t="shared" si="0"/>
        <v>-1538.3</v>
      </c>
      <c r="I18" s="2" t="s">
        <v>1</v>
      </c>
      <c r="K18" s="9"/>
    </row>
    <row r="19" spans="1:11" ht="16.5" customHeight="1" x14ac:dyDescent="0.3">
      <c r="A19" s="2">
        <v>17</v>
      </c>
      <c r="B19" s="1" t="s">
        <v>16</v>
      </c>
      <c r="C19" s="6">
        <v>-217.2</v>
      </c>
      <c r="D19" s="6">
        <v>-120.1</v>
      </c>
      <c r="E19" s="6">
        <v>-166.3</v>
      </c>
      <c r="F19" s="6">
        <v>-206.9</v>
      </c>
      <c r="G19" s="6">
        <v>-212.8</v>
      </c>
      <c r="H19" s="6">
        <f t="shared" si="0"/>
        <v>-217.2</v>
      </c>
      <c r="I19" s="2" t="s">
        <v>1</v>
      </c>
      <c r="K19" s="9"/>
    </row>
    <row r="20" spans="1:11" ht="16.5" customHeight="1" x14ac:dyDescent="0.3">
      <c r="A20" s="2">
        <v>18</v>
      </c>
      <c r="B20" s="1" t="s">
        <v>17</v>
      </c>
      <c r="C20" s="6">
        <v>-78.3</v>
      </c>
      <c r="D20" s="6">
        <v>-12.7</v>
      </c>
      <c r="E20" s="6">
        <v>-45.1</v>
      </c>
      <c r="F20" s="6">
        <v>-72.599999999999994</v>
      </c>
      <c r="G20" s="6">
        <v>-72.099999999999994</v>
      </c>
      <c r="H20" s="6">
        <f t="shared" si="0"/>
        <v>-78.3</v>
      </c>
      <c r="I20" s="2" t="s">
        <v>1</v>
      </c>
      <c r="K20" s="9"/>
    </row>
    <row r="21" spans="1:11" ht="16.5" customHeight="1" x14ac:dyDescent="0.3">
      <c r="A21" s="2">
        <v>19</v>
      </c>
      <c r="B21" s="1" t="s">
        <v>39</v>
      </c>
      <c r="C21" s="6">
        <v>999.3</v>
      </c>
      <c r="D21" s="6">
        <v>1351.1</v>
      </c>
      <c r="E21" s="6">
        <v>1074.3</v>
      </c>
      <c r="F21" s="6">
        <v>1059.3</v>
      </c>
      <c r="G21" s="6">
        <v>1062.4000000000001</v>
      </c>
      <c r="H21" s="6">
        <f t="shared" si="0"/>
        <v>999.3</v>
      </c>
      <c r="I21" s="2" t="s">
        <v>1</v>
      </c>
      <c r="K21" s="9"/>
    </row>
    <row r="22" spans="1:11" ht="16.5" customHeight="1" x14ac:dyDescent="0.3">
      <c r="A22" s="2">
        <v>20</v>
      </c>
      <c r="B22" s="1" t="s">
        <v>19</v>
      </c>
      <c r="C22" s="6">
        <v>-807.3</v>
      </c>
      <c r="D22" s="6">
        <v>-749.9</v>
      </c>
      <c r="E22" s="6">
        <v>-799.1</v>
      </c>
      <c r="F22" s="6">
        <v>-810.9</v>
      </c>
      <c r="G22" s="6">
        <v>-810.6</v>
      </c>
      <c r="H22" s="6">
        <f t="shared" si="0"/>
        <v>-810.9</v>
      </c>
      <c r="I22" s="2" t="s">
        <v>4</v>
      </c>
      <c r="K22" s="9"/>
    </row>
    <row r="23" spans="1:11" ht="16.5" customHeight="1" x14ac:dyDescent="0.3">
      <c r="A23" s="2">
        <v>21</v>
      </c>
      <c r="B23" s="1" t="s">
        <v>27</v>
      </c>
      <c r="C23" s="6">
        <v>-810.8</v>
      </c>
      <c r="D23" s="6">
        <v>-715.8</v>
      </c>
      <c r="E23" s="6">
        <v>-757</v>
      </c>
      <c r="F23" s="6">
        <v>-785.8</v>
      </c>
      <c r="G23" s="6">
        <v>-782.5</v>
      </c>
      <c r="H23" s="6">
        <f t="shared" si="0"/>
        <v>-810.8</v>
      </c>
      <c r="I23" s="2" t="s">
        <v>1</v>
      </c>
      <c r="K23" s="9"/>
    </row>
    <row r="24" spans="1:11" ht="16.5" customHeight="1" x14ac:dyDescent="0.3">
      <c r="A24" s="2">
        <v>22</v>
      </c>
      <c r="B24" s="1" t="s">
        <v>28</v>
      </c>
      <c r="C24" s="6">
        <v>-671</v>
      </c>
      <c r="D24" s="6">
        <v>-269.60000000000002</v>
      </c>
      <c r="E24" s="6">
        <v>-656.7</v>
      </c>
      <c r="F24" s="6">
        <v>-646.1</v>
      </c>
      <c r="G24" s="6">
        <v>-656.6</v>
      </c>
      <c r="H24" s="6">
        <f t="shared" si="0"/>
        <v>-671</v>
      </c>
      <c r="I24" s="2" t="s">
        <v>1</v>
      </c>
      <c r="K24" s="9"/>
    </row>
    <row r="25" spans="1:11" ht="16.5" customHeight="1" x14ac:dyDescent="0.3">
      <c r="A25" s="2">
        <v>23</v>
      </c>
      <c r="B25" s="1" t="s">
        <v>29</v>
      </c>
      <c r="C25" s="6">
        <v>-1072.3</v>
      </c>
      <c r="D25" s="6">
        <v>-727</v>
      </c>
      <c r="E25" s="6">
        <v>-1062.3</v>
      </c>
      <c r="F25" s="6">
        <v>-1060.5</v>
      </c>
      <c r="G25" s="6">
        <v>-1065</v>
      </c>
      <c r="H25" s="6">
        <f t="shared" si="0"/>
        <v>-1072.3</v>
      </c>
      <c r="I25" s="2" t="s">
        <v>1</v>
      </c>
      <c r="K25" s="9"/>
    </row>
    <row r="26" spans="1:11" ht="16.5" customHeight="1" x14ac:dyDescent="0.3">
      <c r="A26" s="2">
        <v>24</v>
      </c>
      <c r="B26" s="1" t="s">
        <v>40</v>
      </c>
      <c r="C26" s="6">
        <v>2116.4</v>
      </c>
      <c r="D26" s="6">
        <v>2153.6999999999998</v>
      </c>
      <c r="E26" s="6">
        <v>2123.4</v>
      </c>
      <c r="F26" s="6">
        <v>2115.1</v>
      </c>
      <c r="G26" s="6">
        <v>2116</v>
      </c>
      <c r="H26" s="6">
        <f t="shared" si="0"/>
        <v>2115.1</v>
      </c>
      <c r="I26" s="2" t="s">
        <v>4</v>
      </c>
      <c r="K26" s="9"/>
    </row>
    <row r="27" spans="1:11" ht="16.5" customHeight="1" x14ac:dyDescent="0.3">
      <c r="A27" s="2">
        <v>25</v>
      </c>
      <c r="B27" s="1" t="s">
        <v>41</v>
      </c>
      <c r="C27" s="6">
        <v>2631.8</v>
      </c>
      <c r="D27" s="6">
        <v>2671.3</v>
      </c>
      <c r="E27" s="6">
        <v>2651</v>
      </c>
      <c r="F27" s="6">
        <v>2632.2</v>
      </c>
      <c r="G27" s="6">
        <v>2629.1</v>
      </c>
      <c r="H27" s="6">
        <f t="shared" si="0"/>
        <v>2629.1</v>
      </c>
      <c r="I27" s="2" t="s">
        <v>5</v>
      </c>
      <c r="K27" s="9"/>
    </row>
    <row r="28" spans="1:11" ht="16.5" customHeight="1" x14ac:dyDescent="0.3">
      <c r="A28" s="2">
        <v>26</v>
      </c>
      <c r="B28" s="1" t="s">
        <v>42</v>
      </c>
      <c r="C28" s="6">
        <v>-1304.7</v>
      </c>
      <c r="D28" s="6">
        <v>-1297.9000000000001</v>
      </c>
      <c r="E28" s="6">
        <v>-1307.2</v>
      </c>
      <c r="F28" s="6">
        <v>-1304.0999999999999</v>
      </c>
      <c r="G28" s="6">
        <v>-1307.3</v>
      </c>
      <c r="H28" s="6">
        <f t="shared" si="0"/>
        <v>-1307.3</v>
      </c>
      <c r="I28" s="2" t="s">
        <v>5</v>
      </c>
      <c r="K28" s="9"/>
    </row>
    <row r="29" spans="1:11" ht="16.5" customHeight="1" x14ac:dyDescent="0.3">
      <c r="A29" s="2">
        <v>27</v>
      </c>
      <c r="B29" s="1" t="s">
        <v>43</v>
      </c>
      <c r="C29" s="6">
        <v>2579.3000000000002</v>
      </c>
      <c r="D29" s="6">
        <v>2699.7</v>
      </c>
      <c r="E29" s="6">
        <v>2614.1999999999998</v>
      </c>
      <c r="F29" s="6">
        <v>2591.4</v>
      </c>
      <c r="G29" s="6">
        <v>2592</v>
      </c>
      <c r="H29" s="6">
        <f t="shared" si="0"/>
        <v>2579.3000000000002</v>
      </c>
      <c r="I29" s="2" t="s">
        <v>1</v>
      </c>
      <c r="K29" s="9"/>
    </row>
    <row r="30" spans="1:11" ht="16.5" customHeight="1" x14ac:dyDescent="0.3">
      <c r="A30" s="2">
        <v>28</v>
      </c>
      <c r="B30" s="1" t="s">
        <v>44</v>
      </c>
      <c r="C30" s="6">
        <v>2857</v>
      </c>
      <c r="D30" s="6">
        <v>2892.3</v>
      </c>
      <c r="E30" s="6">
        <v>2870.3</v>
      </c>
      <c r="F30" s="6">
        <v>2858.9</v>
      </c>
      <c r="G30" s="6">
        <v>2862.8</v>
      </c>
      <c r="H30" s="6">
        <f t="shared" si="0"/>
        <v>2857</v>
      </c>
      <c r="I30" s="2" t="s">
        <v>1</v>
      </c>
      <c r="K30" s="9"/>
    </row>
    <row r="31" spans="1:11" ht="16.5" customHeight="1" x14ac:dyDescent="0.3">
      <c r="A31" s="2">
        <v>29</v>
      </c>
      <c r="B31" s="1" t="s">
        <v>45</v>
      </c>
      <c r="C31" s="6">
        <v>-612.70000000000005</v>
      </c>
      <c r="D31" s="6">
        <v>-508</v>
      </c>
      <c r="E31" s="6">
        <v>-604.5</v>
      </c>
      <c r="F31" s="6">
        <v>-605.1</v>
      </c>
      <c r="G31" s="6">
        <v>-604.9</v>
      </c>
      <c r="H31" s="6">
        <f t="shared" si="0"/>
        <v>-612.70000000000005</v>
      </c>
      <c r="I31" s="2" t="s">
        <v>1</v>
      </c>
      <c r="K31" s="9"/>
    </row>
    <row r="32" spans="1:11" ht="16.5" customHeight="1" x14ac:dyDescent="0.3">
      <c r="A32" s="2">
        <v>30</v>
      </c>
      <c r="B32" s="1" t="s">
        <v>13</v>
      </c>
      <c r="C32" s="6">
        <v>2969.9</v>
      </c>
      <c r="D32" s="6">
        <v>3031.2</v>
      </c>
      <c r="E32" s="6">
        <v>2970.8</v>
      </c>
      <c r="F32" s="6">
        <v>2965.5</v>
      </c>
      <c r="G32" s="6">
        <v>2966.9</v>
      </c>
      <c r="H32" s="6">
        <f t="shared" si="0"/>
        <v>2965.5</v>
      </c>
      <c r="I32" s="2" t="s">
        <v>4</v>
      </c>
      <c r="K32" s="9"/>
    </row>
    <row r="33" spans="1:11" ht="16.5" customHeight="1" x14ac:dyDescent="0.3">
      <c r="A33" s="2">
        <v>31</v>
      </c>
      <c r="B33" s="1" t="s">
        <v>14</v>
      </c>
      <c r="C33" s="6">
        <v>-145.69999999999999</v>
      </c>
      <c r="D33" s="6">
        <v>-125.5</v>
      </c>
      <c r="E33" s="6">
        <v>-135.19999999999999</v>
      </c>
      <c r="F33" s="6">
        <v>-138.5</v>
      </c>
      <c r="G33" s="6">
        <v>-134.80000000000001</v>
      </c>
      <c r="H33" s="6">
        <f t="shared" si="0"/>
        <v>-145.69999999999999</v>
      </c>
      <c r="I33" s="2" t="s">
        <v>1</v>
      </c>
      <c r="K33" s="9"/>
    </row>
    <row r="34" spans="1:11" ht="16.5" customHeight="1" x14ac:dyDescent="0.3">
      <c r="A34" s="2">
        <v>32</v>
      </c>
      <c r="B34" s="2" t="s">
        <v>31</v>
      </c>
      <c r="C34" s="6">
        <v>839.6</v>
      </c>
      <c r="D34" s="6">
        <v>890.3</v>
      </c>
      <c r="E34" s="6">
        <v>892.4</v>
      </c>
      <c r="F34" s="6">
        <v>892.4</v>
      </c>
      <c r="G34" s="6">
        <v>895.8</v>
      </c>
      <c r="H34" s="6">
        <f t="shared" si="0"/>
        <v>839.6</v>
      </c>
      <c r="I34" s="2" t="s">
        <v>1</v>
      </c>
      <c r="K34" s="9"/>
    </row>
    <row r="35" spans="1:11" ht="16.5" customHeight="1" x14ac:dyDescent="0.3">
      <c r="A35" s="2">
        <v>33</v>
      </c>
      <c r="B35" s="2" t="s">
        <v>32</v>
      </c>
      <c r="C35" s="6">
        <v>2124.1999999999998</v>
      </c>
      <c r="D35" s="6">
        <v>2169.6999999999998</v>
      </c>
      <c r="E35" s="6">
        <v>2171.6</v>
      </c>
      <c r="F35" s="6">
        <v>2170.9</v>
      </c>
      <c r="G35" s="6">
        <v>2174.9</v>
      </c>
      <c r="H35" s="6">
        <f t="shared" si="0"/>
        <v>2124.1999999999998</v>
      </c>
      <c r="I35" s="2" t="s">
        <v>1</v>
      </c>
      <c r="K35" s="9"/>
    </row>
    <row r="36" spans="1:11" ht="16.5" customHeight="1" x14ac:dyDescent="0.3">
      <c r="K36" s="9"/>
    </row>
    <row r="37" spans="1:11" ht="16.5" customHeight="1" x14ac:dyDescent="0.3">
      <c r="K37" s="9"/>
    </row>
    <row r="38" spans="1:11" ht="16.5" customHeight="1" x14ac:dyDescent="0.3">
      <c r="K38" s="9"/>
    </row>
    <row r="39" spans="1:11" ht="16.5" customHeight="1" x14ac:dyDescent="0.3">
      <c r="K39" s="9"/>
    </row>
    <row r="40" spans="1:11" ht="16.5" customHeight="1" x14ac:dyDescent="0.3">
      <c r="K40" s="9"/>
    </row>
    <row r="41" spans="1:11" ht="16.5" customHeight="1" x14ac:dyDescent="0.3">
      <c r="K41" s="9"/>
    </row>
    <row r="42" spans="1:11" ht="16.5" customHeight="1" x14ac:dyDescent="0.3">
      <c r="K42" s="9"/>
    </row>
    <row r="43" spans="1:11" ht="16.5" customHeight="1" x14ac:dyDescent="0.3">
      <c r="K43" s="7"/>
    </row>
    <row r="44" spans="1:11" ht="16.5" customHeight="1" x14ac:dyDescent="0.3">
      <c r="K44" s="7"/>
    </row>
    <row r="45" spans="1:11" ht="16.5" customHeight="1" x14ac:dyDescent="0.3">
      <c r="K45" s="7"/>
    </row>
    <row r="46" spans="1:11" ht="16.5" customHeight="1" x14ac:dyDescent="0.3">
      <c r="K46" s="7"/>
    </row>
    <row r="47" spans="1:11" ht="16.5" customHeight="1" x14ac:dyDescent="0.3">
      <c r="K47" s="7"/>
    </row>
    <row r="48" spans="1:11" ht="16.5" customHeight="1" x14ac:dyDescent="0.3">
      <c r="K48" s="7"/>
    </row>
    <row r="49" spans="11:11" ht="16.5" customHeight="1" x14ac:dyDescent="0.3">
      <c r="K49" s="7"/>
    </row>
    <row r="50" spans="11:11" ht="16.5" customHeight="1" x14ac:dyDescent="0.3">
      <c r="K50" s="7"/>
    </row>
    <row r="51" spans="11:11" ht="16.5" customHeight="1" x14ac:dyDescent="0.3">
      <c r="K51" s="7"/>
    </row>
    <row r="52" spans="11:11" ht="16.5" customHeight="1" x14ac:dyDescent="0.3">
      <c r="K52" s="7"/>
    </row>
    <row r="53" spans="11:11" ht="16.5" customHeight="1" x14ac:dyDescent="0.3">
      <c r="K53" s="7"/>
    </row>
    <row r="54" spans="11:11" ht="16.5" customHeight="1" x14ac:dyDescent="0.3">
      <c r="K54" s="7"/>
    </row>
    <row r="55" spans="11:11" ht="16.5" customHeight="1" x14ac:dyDescent="0.3">
      <c r="K55" s="7"/>
    </row>
    <row r="56" spans="11:11" ht="16.5" customHeight="1" x14ac:dyDescent="0.3">
      <c r="K56" s="7"/>
    </row>
    <row r="57" spans="11:11" ht="16.5" customHeight="1" x14ac:dyDescent="0.3">
      <c r="K57" s="7"/>
    </row>
    <row r="58" spans="11:11" ht="16.5" customHeight="1" x14ac:dyDescent="0.3">
      <c r="K58" s="7"/>
    </row>
    <row r="59" spans="11:11" ht="16.5" customHeight="1" x14ac:dyDescent="0.3">
      <c r="K59" s="7"/>
    </row>
    <row r="60" spans="11:11" ht="16.5" customHeight="1" x14ac:dyDescent="0.3">
      <c r="K60" s="7"/>
    </row>
    <row r="61" spans="11:11" ht="16.5" customHeight="1" x14ac:dyDescent="0.3">
      <c r="K61" s="7"/>
    </row>
    <row r="62" spans="11:11" ht="16.5" customHeight="1" x14ac:dyDescent="0.3">
      <c r="K62" s="7"/>
    </row>
    <row r="63" spans="11:11" ht="16.5" customHeight="1" x14ac:dyDescent="0.3">
      <c r="K63" s="7"/>
    </row>
    <row r="64" spans="11:11" ht="16.5" customHeight="1" x14ac:dyDescent="0.3">
      <c r="K64" s="7"/>
    </row>
    <row r="65" spans="11:11" ht="16.5" customHeight="1" x14ac:dyDescent="0.3">
      <c r="K65" s="7"/>
    </row>
    <row r="66" spans="11:11" ht="16.5" customHeight="1" x14ac:dyDescent="0.3">
      <c r="K66" s="7"/>
    </row>
    <row r="67" spans="11:11" ht="16.5" customHeight="1" x14ac:dyDescent="0.3">
      <c r="K67" s="7"/>
    </row>
    <row r="68" spans="11:11" ht="16.5" customHeight="1" x14ac:dyDescent="0.3">
      <c r="K68" s="7"/>
    </row>
    <row r="69" spans="11:11" ht="16.5" customHeight="1" x14ac:dyDescent="0.3">
      <c r="K69" s="7"/>
    </row>
    <row r="70" spans="11:11" ht="16.5" customHeight="1" x14ac:dyDescent="0.3">
      <c r="K70" s="7"/>
    </row>
  </sheetData>
  <sortState xmlns:xlrd2="http://schemas.microsoft.com/office/spreadsheetml/2017/richdata2" ref="A3:I35">
    <sortCondition ref="A3:A35"/>
  </sortState>
  <mergeCells count="1">
    <mergeCell ref="A1:M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Zlatko</dc:creator>
  <cp:lastModifiedBy>Admin</cp:lastModifiedBy>
  <dcterms:created xsi:type="dcterms:W3CDTF">2020-07-03T09:30:04Z</dcterms:created>
  <dcterms:modified xsi:type="dcterms:W3CDTF">2020-11-14T17:17:14Z</dcterms:modified>
</cp:coreProperties>
</file>